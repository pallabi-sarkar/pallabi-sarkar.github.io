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6b396f8520dbf6/Documents/"/>
    </mc:Choice>
  </mc:AlternateContent>
  <xr:revisionPtr revIDLastSave="195" documentId="8_{07E107E2-B472-4F37-87E5-DF02B644A597}" xr6:coauthVersionLast="47" xr6:coauthVersionMax="47" xr10:uidLastSave="{5F3CE742-139C-4ECE-BBD4-2E9F1EE2E45B}"/>
  <bookViews>
    <workbookView xWindow="-108" yWindow="-108" windowWidth="23256" windowHeight="12456" activeTab="2" xr2:uid="{1E52A42B-34A6-4A5D-A069-4A68C9F09C42}"/>
  </bookViews>
  <sheets>
    <sheet name="Sheet2" sheetId="2" r:id="rId1"/>
    <sheet name="Sheet3" sheetId="3" r:id="rId2"/>
    <sheet name="Sheet4" sheetId="4" r:id="rId3"/>
    <sheet name="Sheet1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H10" i="1"/>
  <c r="I3" i="1"/>
  <c r="I4" i="1"/>
  <c r="I5" i="1"/>
  <c r="I6" i="1"/>
  <c r="I7" i="1"/>
  <c r="I8" i="1"/>
  <c r="I9" i="1"/>
  <c r="I11" i="1"/>
  <c r="I2" i="1"/>
  <c r="H3" i="1"/>
  <c r="H4" i="1"/>
  <c r="H5" i="1"/>
  <c r="H6" i="1"/>
  <c r="H7" i="1"/>
  <c r="H8" i="1"/>
  <c r="H9" i="1"/>
  <c r="H11" i="1"/>
  <c r="H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<sst xmlns="http://schemas.openxmlformats.org/spreadsheetml/2006/main" count="66" uniqueCount="24">
  <si>
    <t>Campaign</t>
  </si>
  <si>
    <t>Device</t>
  </si>
  <si>
    <t>Clicks</t>
  </si>
  <si>
    <t>Cost (₹)</t>
  </si>
  <si>
    <t>Conversions</t>
  </si>
  <si>
    <t>Revenue (₹)</t>
  </si>
  <si>
    <t>Google Search</t>
  </si>
  <si>
    <t>Desktop</t>
  </si>
  <si>
    <t>Mobile</t>
  </si>
  <si>
    <t>Facebook Ads</t>
  </si>
  <si>
    <t>Instagram Ads</t>
  </si>
  <si>
    <t>YouTube Ads</t>
  </si>
  <si>
    <t>Email Campaign</t>
  </si>
  <si>
    <t>Conversion Rate</t>
  </si>
  <si>
    <t>ROAS</t>
  </si>
  <si>
    <t>CPA(₹)</t>
  </si>
  <si>
    <t>Row Labels</t>
  </si>
  <si>
    <t>Grand Total</t>
  </si>
  <si>
    <t>Sum of Revenue (₹)</t>
  </si>
  <si>
    <t>Column Labels</t>
  </si>
  <si>
    <t>Sum of Clicks</t>
  </si>
  <si>
    <t>Sum of Conversions</t>
  </si>
  <si>
    <t>Sum of Conversion Rate (%)</t>
  </si>
  <si>
    <t>Sum of Return On Ad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</si>
</sst>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9" fontId="0" fillId="0" borderId="0" xfId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2">
    <dxf>
      <numFmt numFmtId="13" formatCode="0%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[Campaign Performance by Device.xlsx]Sheet2!PivotTable1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Campaign &amp; Device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Sheet2!$A$5:$A$10</c:f>
              <c:strCache>
                <c:ptCount val="5"/>
                <c:pt idx="0">
                  <c:v>Email Campaign</c:v>
                </c:pt>
                <c:pt idx="1">
                  <c:v>Facebook Ads</c:v>
                </c:pt>
                <c:pt idx="2">
                  <c:v>Google Search</c:v>
                </c:pt>
                <c:pt idx="3">
                  <c:v>Instagram Ads</c:v>
                </c:pt>
                <c:pt idx="4">
                  <c:v>YouTube Ads</c:v>
                </c:pt>
              </c:strCache>
            </c:strRef>
          </c:cat>
          <c:val>
            <c:numRef>
              <c:f>Sheet2!$B$5:$B$10</c:f>
              <c:numCache>
                <c:formatCode>General</c:formatCode>
                <c:ptCount val="5"/>
                <c:pt idx="0">
                  <c:v>140000</c:v>
                </c:pt>
                <c:pt idx="1">
                  <c:v>45000</c:v>
                </c:pt>
                <c:pt idx="2">
                  <c:v>90000</c:v>
                </c:pt>
                <c:pt idx="3">
                  <c:v>15000</c:v>
                </c:pt>
                <c:pt idx="4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4-424C-8806-9E754FF8114C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Sheet2!$A$5:$A$10</c:f>
              <c:strCache>
                <c:ptCount val="5"/>
                <c:pt idx="0">
                  <c:v>Email Campaign</c:v>
                </c:pt>
                <c:pt idx="1">
                  <c:v>Facebook Ads</c:v>
                </c:pt>
                <c:pt idx="2">
                  <c:v>Google Search</c:v>
                </c:pt>
                <c:pt idx="3">
                  <c:v>Instagram Ads</c:v>
                </c:pt>
                <c:pt idx="4">
                  <c:v>YouTube Ads</c:v>
                </c:pt>
              </c:strCache>
            </c:strRef>
          </c:cat>
          <c:val>
            <c:numRef>
              <c:f>Sheet2!$C$5:$C$10</c:f>
              <c:numCache>
                <c:formatCode>General</c:formatCode>
                <c:ptCount val="5"/>
                <c:pt idx="0">
                  <c:v>60000</c:v>
                </c:pt>
                <c:pt idx="1">
                  <c:v>60000</c:v>
                </c:pt>
                <c:pt idx="2">
                  <c:v>50000</c:v>
                </c:pt>
                <c:pt idx="3">
                  <c:v>75000</c:v>
                </c:pt>
                <c:pt idx="4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B4-424C-8806-9E754FF8114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3268079"/>
        <c:axId val="173262319"/>
      </c:barChart>
      <c:catAx>
        <c:axId val="173268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2319"/>
        <c:crosses val="autoZero"/>
        <c:auto val="1"/>
        <c:lblAlgn val="ctr"/>
        <c:lblOffset val="100"/>
        <c:noMultiLvlLbl val="0"/>
      </c:catAx>
      <c:valAx>
        <c:axId val="17326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Performance by Device.xlsx]Sheet3!PivotTable2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Conversion</a:t>
            </a:r>
            <a:r>
              <a:rPr lang="en-IN" baseline="0"/>
              <a:t> Rate By Device</a:t>
            </a:r>
            <a:endParaRPr lang="en-IN"/>
          </a:p>
        </c:rich>
      </c:tx>
      <c:layout>
        <c:manualLayout>
          <c:xMode val="edge"/>
          <c:yMode val="edge"/>
          <c:x val="0.27829855643044621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Sheet3!$A$4:$A$6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7600</c:v>
                </c:pt>
                <c:pt idx="1">
                  <c:v>13600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C-407A-BE15-111A8A90D7C4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Conversions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Sheet3!$A$4:$A$6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Sheet3!$C$4:$C$6</c:f>
              <c:numCache>
                <c:formatCode>General</c:formatCode>
                <c:ptCount val="2"/>
                <c:pt idx="0">
                  <c:v>680</c:v>
                </c:pt>
                <c:pt idx="1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FC-407A-BE15-111A8A90D7C4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Conversion Rate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Sheet3!$A$4:$A$6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Sheet3!$D$4:$D$6</c:f>
              <c:numCache>
                <c:formatCode>0%</c:formatCode>
                <c:ptCount val="2"/>
                <c:pt idx="0">
                  <c:v>8.9473684210526316E-2</c:v>
                </c:pt>
                <c:pt idx="1">
                  <c:v>4.7058823529411764E-2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FC-407A-BE15-111A8A90D7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15723279"/>
        <c:axId val="315725199"/>
      </c:barChart>
      <c:catAx>
        <c:axId val="3157232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725199"/>
        <c:crosses val="autoZero"/>
        <c:auto val="1"/>
        <c:lblAlgn val="ctr"/>
        <c:lblOffset val="100"/>
        <c:noMultiLvlLbl val="0"/>
      </c:catAx>
      <c:valAx>
        <c:axId val="315725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72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8333333333333"/>
          <c:y val="0.37057706328375623"/>
          <c:w val="0.2902777777777778"/>
          <c:h val="0.45268627879848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Performance by Device.xlsx]Sheet4!PivotTable3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ROAS By Campaign &amp;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Sheet4!$A$4:$A$19</c:f>
              <c:multiLvlStrCache>
                <c:ptCount val="10"/>
                <c:lvl>
                  <c:pt idx="0">
                    <c:v>Desktop</c:v>
                  </c:pt>
                  <c:pt idx="1">
                    <c:v>Mobile</c:v>
                  </c:pt>
                  <c:pt idx="2">
                    <c:v>Desktop</c:v>
                  </c:pt>
                  <c:pt idx="3">
                    <c:v>Mobile</c:v>
                  </c:pt>
                  <c:pt idx="4">
                    <c:v>Desktop</c:v>
                  </c:pt>
                  <c:pt idx="5">
                    <c:v>Mobile</c:v>
                  </c:pt>
                  <c:pt idx="6">
                    <c:v>Desktop</c:v>
                  </c:pt>
                  <c:pt idx="7">
                    <c:v>Mobile</c:v>
                  </c:pt>
                  <c:pt idx="8">
                    <c:v>Desktop</c:v>
                  </c:pt>
                  <c:pt idx="9">
                    <c:v>Mobile</c:v>
                  </c:pt>
                </c:lvl>
                <c:lvl>
                  <c:pt idx="0">
                    <c:v>Email Campaign</c:v>
                  </c:pt>
                  <c:pt idx="2">
                    <c:v>Facebook Ads</c:v>
                  </c:pt>
                  <c:pt idx="4">
                    <c:v>Google Search</c:v>
                  </c:pt>
                  <c:pt idx="6">
                    <c:v>Instagram Ads</c:v>
                  </c:pt>
                  <c:pt idx="8">
                    <c:v>YouTube Ads</c:v>
                  </c:pt>
                </c:lvl>
              </c:multiLvlStrCache>
            </c:multiLvlStrRef>
          </c:cat>
          <c:val>
            <c:numRef>
              <c:f>Sheet4!$B$4:$B$19</c:f>
              <c:numCache>
                <c:formatCode>0.00</c:formatCode>
                <c:ptCount val="10"/>
                <c:pt idx="0">
                  <c:v>23.333333333333332</c:v>
                </c:pt>
                <c:pt idx="1">
                  <c:v>15</c:v>
                </c:pt>
                <c:pt idx="2">
                  <c:v>2.5</c:v>
                </c:pt>
                <c:pt idx="3">
                  <c:v>1.7142857142857142</c:v>
                </c:pt>
                <c:pt idx="4">
                  <c:v>4.5</c:v>
                </c:pt>
                <c:pt idx="5">
                  <c:v>2.2727272727272729</c:v>
                </c:pt>
                <c:pt idx="6">
                  <c:v>1.875</c:v>
                </c:pt>
                <c:pt idx="7">
                  <c:v>2.34375</c:v>
                </c:pt>
                <c:pt idx="8">
                  <c:v>2</c:v>
                </c:pt>
                <c:pt idx="9">
                  <c:v>1.5555555555555556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7-43A5-85B7-7A59D55223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89890671"/>
        <c:axId val="589892111"/>
      </c:barChart>
      <c:catAx>
        <c:axId val="5898906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92111"/>
        <c:crosses val="autoZero"/>
        <c:auto val="1"/>
        <c:lblAlgn val="ctr"/>
        <c:lblOffset val="100"/>
        <c:noMultiLvlLbl val="0"/>
      </c:catAx>
      <c:valAx>
        <c:axId val="589892111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9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2</xdr:row>
      <xdr:rowOff>3810</xdr:rowOff>
    </xdr:from>
    <xdr:to>
      <xdr:col>12</xdr:col>
      <xdr:colOff>38100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0C0BE-7555-471A-AA7A-06471FB7E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480060</xdr:colOff>
      <xdr:row>8</xdr:row>
      <xdr:rowOff>102870</xdr:rowOff>
    </xdr:from>
    <xdr:to>
      <xdr:col>6</xdr:col>
      <xdr:colOff>83820</xdr:colOff>
      <xdr:row>23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190B7-D0B4-EAF4-51B8-099E55571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161840</xdr:colOff>
      <xdr:row>4</xdr:row>
      <xdr:rowOff>169258</xdr:rowOff>
    </xdr:from>
    <xdr:to>
      <xdr:col>7</xdr:col>
      <xdr:colOff>687823</xdr:colOff>
      <xdr:row>18</xdr:row>
      <xdr:rowOff>80921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6A85EE-126F-8D0D-625D-F32A9C465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labi" refreshedDate="46074.571940162037" createdVersion="8" refreshedVersion="8" minRefreshableVersion="3" recordCount="10" xr:uid="{BE0B26DA-575C-4268-900B-C0D12EDD6ED4}">
  <cacheSource type="worksheet">
    <worksheetSource ref="A1:I11" sheet="Sheet1"/>
  </cacheSource>
  <cacheFields count="11">
    <cacheField name="Campaign" numFmtId="0">
      <sharedItems count="5">
        <s v="Google Search"/>
        <s v="Facebook Ads"/>
        <s v="Instagram Ads"/>
        <s v="YouTube Ads"/>
        <s v="Email Campaign"/>
      </sharedItems>
    </cacheField>
    <cacheField name="Device" numFmtId="0">
      <sharedItems count="2">
        <s v="Desktop"/>
        <s v="Mobile"/>
      </sharedItems>
    </cacheField>
    <cacheField name="Clicks" numFmtId="0">
      <sharedItems containsSemiMixedTypes="0" containsString="0" containsNumber="1" containsInteger="1" minValue="800" maxValue="4000"/>
    </cacheField>
    <cacheField name="Cost (₹)" numFmtId="3">
      <sharedItems containsSemiMixedTypes="0" containsString="0" containsNumber="1" containsInteger="1" minValue="4000" maxValue="45000"/>
    </cacheField>
    <cacheField name="Conversions" numFmtId="0">
      <sharedItems containsSemiMixedTypes="0" containsString="0" containsNumber="1" containsInteger="1" minValue="30" maxValue="300"/>
    </cacheField>
    <cacheField name="Revenue (₹)" numFmtId="0">
      <sharedItems containsSemiMixedTypes="0" containsString="0" containsNumber="1" containsInteger="1" minValue="15000" maxValue="140000"/>
    </cacheField>
    <cacheField name="Conversion Rate" numFmtId="9">
      <sharedItems containsSemiMixedTypes="0" containsString="0" containsNumber="1" minValue="3.7499999999999999E-2" maxValue="0.16666666666666666"/>
    </cacheField>
    <cacheField name="CPA(₹)" numFmtId="2">
      <sharedItems containsSemiMixedTypes="0" containsString="0" containsNumber="1" minValue="20" maxValue="300"/>
    </cacheField>
    <cacheField name="ROAS" numFmtId="2">
      <sharedItems containsSemiMixedTypes="0" containsString="0" containsNumber="1" minValue="1.5555555555555556" maxValue="23.333333333333332"/>
    </cacheField>
    <cacheField name="Conversion Rate (%)" numFmtId="0" formula="Conversions/Clicks" databaseField="0"/>
    <cacheField name="Return On Ad Spend" numFmtId="0" formula="'Revenue (₹)'/'Cost (₹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2000"/>
    <n v="20000"/>
    <n v="180"/>
    <n v="90000"/>
    <n v="0.09"/>
    <n v="111.11111111111111"/>
    <n v="4.5"/>
  </r>
  <r>
    <x v="0"/>
    <x v="1"/>
    <n v="2200"/>
    <n v="22000"/>
    <n v="120"/>
    <n v="50000"/>
    <n v="5.4545454545454543E-2"/>
    <n v="183.33333333333334"/>
    <n v="2.2727272727272729"/>
  </r>
  <r>
    <x v="1"/>
    <x v="0"/>
    <n v="1500"/>
    <n v="18000"/>
    <n v="90"/>
    <n v="45000"/>
    <n v="0.06"/>
    <n v="200"/>
    <n v="2.5"/>
  </r>
  <r>
    <x v="1"/>
    <x v="1"/>
    <n v="3200"/>
    <n v="35000"/>
    <n v="120"/>
    <n v="60000"/>
    <n v="3.7499999999999999E-2"/>
    <n v="291.66666666666669"/>
    <n v="1.7142857142857142"/>
  </r>
  <r>
    <x v="2"/>
    <x v="1"/>
    <n v="3000"/>
    <n v="32000"/>
    <n v="150"/>
    <n v="75000"/>
    <n v="0.05"/>
    <n v="213.33333333333334"/>
    <n v="2.34375"/>
  </r>
  <r>
    <x v="2"/>
    <x v="0"/>
    <n v="800"/>
    <n v="8000"/>
    <n v="30"/>
    <n v="15000"/>
    <n v="3.7499999999999999E-2"/>
    <n v="266.66666666666669"/>
    <n v="1.875"/>
  </r>
  <r>
    <x v="3"/>
    <x v="1"/>
    <n v="4000"/>
    <n v="45000"/>
    <n v="150"/>
    <n v="70000"/>
    <n v="3.7499999999999999E-2"/>
    <n v="300"/>
    <n v="1.5555555555555556"/>
  </r>
  <r>
    <x v="3"/>
    <x v="0"/>
    <n v="1500"/>
    <n v="20000"/>
    <n v="80"/>
    <n v="40000"/>
    <n v="5.3333333333333337E-2"/>
    <n v="250"/>
    <n v="2"/>
  </r>
  <r>
    <x v="4"/>
    <x v="0"/>
    <n v="1800"/>
    <n v="6000"/>
    <n v="300"/>
    <n v="140000"/>
    <n v="0.16666666666666666"/>
    <n v="20"/>
    <n v="23.333333333333332"/>
  </r>
  <r>
    <x v="4"/>
    <x v="1"/>
    <n v="1200"/>
    <n v="4000"/>
    <n v="100"/>
    <n v="60000"/>
    <n v="8.3333333333333329E-2"/>
    <n v="4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DAFB2-8151-4BBA-BF07-21A0836191C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D10" firstHeaderRow="1" firstDataRow="2" firstDataCol="1"/>
  <pivotFields count="11">
    <pivotField axis="axisRow" showAll="0">
      <items count="6">
        <item x="4"/>
        <item x="1"/>
        <item x="0"/>
        <item x="2"/>
        <item x="3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numFmtId="3" showAll="0"/>
    <pivotField showAll="0"/>
    <pivotField dataField="1" showAll="0"/>
    <pivotField numFmtId="9" showAll="0"/>
    <pivotField numFmtId="2" showAll="0"/>
    <pivotField numFmtId="2"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Revenue (₹)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19365-5C77-4183-BC43-152CD017B41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6" firstHeaderRow="0" firstDataRow="1" firstDataCol="1"/>
  <pivotFields count="11">
    <pivotField showAll="0"/>
    <pivotField axis="axisRow" showAll="0">
      <items count="3">
        <item x="0"/>
        <item x="1"/>
        <item t="default"/>
      </items>
    </pivotField>
    <pivotField dataField="1" showAll="0"/>
    <pivotField numFmtId="3" showAll="0"/>
    <pivotField dataField="1" showAll="0"/>
    <pivotField showAll="0"/>
    <pivotField numFmtId="9" showAll="0"/>
    <pivotField numFmtId="2" showAll="0"/>
    <pivotField numFmtId="2" showAll="0"/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licks" fld="2" baseField="0" baseItem="0"/>
    <dataField name="Sum of Conversions" fld="4" baseField="0" baseItem="0"/>
    <dataField name="Sum of Conversion Rate (%)" fld="9" baseField="0" baseItem="0" numFmtId="9"/>
  </dataFields>
  <formats count="1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0B4EC-E5AF-4F1B-9EBC-97B09C73C6B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19" firstHeaderRow="1" firstDataRow="1" firstDataCol="1"/>
  <pivotFields count="11">
    <pivotField axis="axisRow" showAll="0">
      <items count="6">
        <item x="4"/>
        <item x="1"/>
        <item x="0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3" showAll="0"/>
    <pivotField showAll="0"/>
    <pivotField showAll="0"/>
    <pivotField numFmtId="9" showAll="0"/>
    <pivotField numFmtId="2" showAll="0"/>
    <pivotField numFmtId="2" showAll="0"/>
    <pivotField dragToRow="0" dragToCol="0" dragToPage="0" showAll="0" defaultSubtotal="0"/>
    <pivotField dataField="1" dragToRow="0" dragToCol="0" dragToPage="0" showAll="0" defaultSubtotal="0"/>
  </pivotFields>
  <rowFields count="2">
    <field x="0"/>
    <field x="1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name="Sum of Return On Ad Spend" fld="10" baseField="0" baseItem="0" numFmtId="2"/>
  </dataFields>
  <formats count="1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6B5A-D900-4040-94B7-1282A80B997F}">
  <dimension ref="A3:D10"/>
  <sheetViews>
    <sheetView topLeftCell="D1" workbookViewId="0">
      <selection activeCell="N20" sqref="N20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6" t="s">
        <v>18</v>
      </c>
      <c r="B3" s="6" t="s">
        <v>19</v>
      </c>
    </row>
    <row r="4" spans="1:4" x14ac:dyDescent="0.3">
      <c r="A4" s="6" t="s">
        <v>16</v>
      </c>
      <c r="B4" t="s">
        <v>7</v>
      </c>
      <c r="C4" t="s">
        <v>8</v>
      </c>
      <c r="D4" t="s">
        <v>17</v>
      </c>
    </row>
    <row r="5" spans="1:4" x14ac:dyDescent="0.3">
      <c r="A5" s="7" t="s">
        <v>12</v>
      </c>
      <c r="B5">
        <v>140000</v>
      </c>
      <c r="C5">
        <v>60000</v>
      </c>
      <c r="D5">
        <v>200000</v>
      </c>
    </row>
    <row r="6" spans="1:4" x14ac:dyDescent="0.3">
      <c r="A6" s="7" t="s">
        <v>9</v>
      </c>
      <c r="B6">
        <v>45000</v>
      </c>
      <c r="C6">
        <v>60000</v>
      </c>
      <c r="D6">
        <v>105000</v>
      </c>
    </row>
    <row r="7" spans="1:4" x14ac:dyDescent="0.3">
      <c r="A7" s="7" t="s">
        <v>6</v>
      </c>
      <c r="B7">
        <v>90000</v>
      </c>
      <c r="C7">
        <v>50000</v>
      </c>
      <c r="D7">
        <v>140000</v>
      </c>
    </row>
    <row r="8" spans="1:4" x14ac:dyDescent="0.3">
      <c r="A8" s="7" t="s">
        <v>10</v>
      </c>
      <c r="B8">
        <v>15000</v>
      </c>
      <c r="C8">
        <v>75000</v>
      </c>
      <c r="D8">
        <v>90000</v>
      </c>
    </row>
    <row r="9" spans="1:4" x14ac:dyDescent="0.3">
      <c r="A9" s="7" t="s">
        <v>11</v>
      </c>
      <c r="B9">
        <v>40000</v>
      </c>
      <c r="C9">
        <v>70000</v>
      </c>
      <c r="D9">
        <v>110000</v>
      </c>
    </row>
    <row r="10" spans="1:4" x14ac:dyDescent="0.3">
      <c r="A10" s="7" t="s">
        <v>17</v>
      </c>
      <c r="B10">
        <v>330000</v>
      </c>
      <c r="C10">
        <v>315000</v>
      </c>
      <c r="D10">
        <v>645000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555D-9421-4A56-B867-ED72E8AA0704}">
  <dimension ref="A3:D6"/>
  <sheetViews>
    <sheetView topLeftCell="B1" workbookViewId="0">
      <selection activeCell="J13" sqref="J13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7.88671875" bestFit="1" customWidth="1"/>
    <col min="4" max="4" width="24.6640625" bestFit="1" customWidth="1"/>
  </cols>
  <sheetData>
    <row r="3" spans="1:4" x14ac:dyDescent="0.3">
      <c r="A3" s="6" t="s">
        <v>16</v>
      </c>
      <c r="B3" t="s">
        <v>20</v>
      </c>
      <c r="C3" t="s">
        <v>21</v>
      </c>
      <c r="D3" t="s">
        <v>22</v>
      </c>
    </row>
    <row r="4" spans="1:4" x14ac:dyDescent="0.3">
      <c r="A4" s="7" t="s">
        <v>7</v>
      </c>
      <c r="B4">
        <v>7600</v>
      </c>
      <c r="C4">
        <v>680</v>
      </c>
      <c r="D4" s="9">
        <v>8.9473684210526316E-2</v>
      </c>
    </row>
    <row r="5" spans="1:4" x14ac:dyDescent="0.3">
      <c r="A5" s="7" t="s">
        <v>8</v>
      </c>
      <c r="B5">
        <v>13600</v>
      </c>
      <c r="C5">
        <v>640</v>
      </c>
      <c r="D5" s="9">
        <v>4.7058823529411764E-2</v>
      </c>
    </row>
    <row r="6" spans="1:4" x14ac:dyDescent="0.3">
      <c r="A6" s="7" t="s">
        <v>17</v>
      </c>
      <c r="B6">
        <v>21200</v>
      </c>
      <c r="C6">
        <v>1320</v>
      </c>
      <c r="D6" s="9">
        <v>6.2264150943396226E-2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8A8F-511E-4098-A11E-8CC54EE45D50}">
  <dimension ref="A3:B19"/>
  <sheetViews>
    <sheetView tabSelected="1" topLeftCell="A3" zoomScale="113" workbookViewId="0">
      <selection activeCell="G24" sqref="G24"/>
    </sheetView>
  </sheetViews>
  <sheetFormatPr defaultRowHeight="14.4" x14ac:dyDescent="0.3"/>
  <cols>
    <col min="1" max="1" width="16.5546875" bestFit="1" customWidth="1"/>
    <col min="2" max="2" width="25.109375" bestFit="1" customWidth="1"/>
    <col min="3" max="3" width="6.88671875" bestFit="1" customWidth="1"/>
    <col min="4" max="4" width="10.77734375" bestFit="1" customWidth="1"/>
    <col min="5" max="5" width="6.88671875" bestFit="1" customWidth="1"/>
    <col min="6" max="6" width="22.88671875" bestFit="1" customWidth="1"/>
    <col min="7" max="7" width="29.88671875" bestFit="1" customWidth="1"/>
    <col min="8" max="8" width="18.88671875" bestFit="1" customWidth="1"/>
    <col min="9" max="9" width="22.88671875" bestFit="1" customWidth="1"/>
    <col min="10" max="10" width="29.88671875" bestFit="1" customWidth="1"/>
    <col min="11" max="11" width="12" bestFit="1" customWidth="1"/>
    <col min="12" max="12" width="24.88671875" bestFit="1" customWidth="1"/>
    <col min="13" max="13" width="12.6640625" bestFit="1" customWidth="1"/>
    <col min="14" max="15" width="13.109375" bestFit="1" customWidth="1"/>
    <col min="16" max="16" width="12" bestFit="1" customWidth="1"/>
    <col min="17" max="17" width="18.77734375" bestFit="1" customWidth="1"/>
    <col min="18" max="18" width="22.5546875" bestFit="1" customWidth="1"/>
    <col min="19" max="19" width="29.77734375" bestFit="1" customWidth="1"/>
  </cols>
  <sheetData>
    <row r="3" spans="1:2" x14ac:dyDescent="0.3">
      <c r="A3" s="6" t="s">
        <v>16</v>
      </c>
      <c r="B3" t="s">
        <v>23</v>
      </c>
    </row>
    <row r="4" spans="1:2" x14ac:dyDescent="0.3">
      <c r="A4" s="7" t="s">
        <v>12</v>
      </c>
      <c r="B4" s="5">
        <v>20</v>
      </c>
    </row>
    <row r="5" spans="1:2" x14ac:dyDescent="0.3">
      <c r="A5" s="8" t="s">
        <v>7</v>
      </c>
      <c r="B5" s="5">
        <v>23.333333333333332</v>
      </c>
    </row>
    <row r="6" spans="1:2" x14ac:dyDescent="0.3">
      <c r="A6" s="8" t="s">
        <v>8</v>
      </c>
      <c r="B6" s="5">
        <v>15</v>
      </c>
    </row>
    <row r="7" spans="1:2" x14ac:dyDescent="0.3">
      <c r="A7" s="7" t="s">
        <v>9</v>
      </c>
      <c r="B7" s="5">
        <v>1.9811320754716981</v>
      </c>
    </row>
    <row r="8" spans="1:2" x14ac:dyDescent="0.3">
      <c r="A8" s="8" t="s">
        <v>7</v>
      </c>
      <c r="B8" s="5">
        <v>2.5</v>
      </c>
    </row>
    <row r="9" spans="1:2" x14ac:dyDescent="0.3">
      <c r="A9" s="8" t="s">
        <v>8</v>
      </c>
      <c r="B9" s="5">
        <v>1.7142857142857142</v>
      </c>
    </row>
    <row r="10" spans="1:2" x14ac:dyDescent="0.3">
      <c r="A10" s="7" t="s">
        <v>6</v>
      </c>
      <c r="B10" s="5">
        <v>3.3333333333333335</v>
      </c>
    </row>
    <row r="11" spans="1:2" x14ac:dyDescent="0.3">
      <c r="A11" s="8" t="s">
        <v>7</v>
      </c>
      <c r="B11" s="5">
        <v>4.5</v>
      </c>
    </row>
    <row r="12" spans="1:2" x14ac:dyDescent="0.3">
      <c r="A12" s="8" t="s">
        <v>8</v>
      </c>
      <c r="B12" s="5">
        <v>2.2727272727272729</v>
      </c>
    </row>
    <row r="13" spans="1:2" x14ac:dyDescent="0.3">
      <c r="A13" s="7" t="s">
        <v>10</v>
      </c>
      <c r="B13" s="5">
        <v>2.25</v>
      </c>
    </row>
    <row r="14" spans="1:2" x14ac:dyDescent="0.3">
      <c r="A14" s="8" t="s">
        <v>7</v>
      </c>
      <c r="B14" s="5">
        <v>1.875</v>
      </c>
    </row>
    <row r="15" spans="1:2" x14ac:dyDescent="0.3">
      <c r="A15" s="8" t="s">
        <v>8</v>
      </c>
      <c r="B15" s="5">
        <v>2.34375</v>
      </c>
    </row>
    <row r="16" spans="1:2" x14ac:dyDescent="0.3">
      <c r="A16" s="7" t="s">
        <v>11</v>
      </c>
      <c r="B16" s="5">
        <v>1.6923076923076923</v>
      </c>
    </row>
    <row r="17" spans="1:2" x14ac:dyDescent="0.3">
      <c r="A17" s="8" t="s">
        <v>7</v>
      </c>
      <c r="B17" s="5">
        <v>2</v>
      </c>
    </row>
    <row r="18" spans="1:2" x14ac:dyDescent="0.3">
      <c r="A18" s="8" t="s">
        <v>8</v>
      </c>
      <c r="B18" s="5">
        <v>1.5555555555555556</v>
      </c>
    </row>
    <row r="19" spans="1:2" x14ac:dyDescent="0.3">
      <c r="A19" s="7" t="s">
        <v>17</v>
      </c>
      <c r="B19" s="5">
        <v>3.0714285714285716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3CB6-238B-413D-8CDD-8318ECDB7485}">
  <dimension ref="A1:I11"/>
  <sheetViews>
    <sheetView workbookViewId="0">
      <selection activeCell="G10" sqref="G10"/>
    </sheetView>
  </sheetViews>
  <sheetFormatPr defaultRowHeight="14.4" x14ac:dyDescent="0.3"/>
  <cols>
    <col min="7" max="7" width="11" customWidth="1"/>
    <col min="9" max="9" width="12" bestFit="1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15</v>
      </c>
      <c r="I1" s="1" t="s">
        <v>14</v>
      </c>
    </row>
    <row r="2" spans="1:9" ht="28.8" x14ac:dyDescent="0.3">
      <c r="A2" s="2" t="s">
        <v>6</v>
      </c>
      <c r="B2" s="2" t="s">
        <v>7</v>
      </c>
      <c r="C2" s="3">
        <v>2000</v>
      </c>
      <c r="D2" s="3">
        <v>20000</v>
      </c>
      <c r="E2" s="2">
        <v>180</v>
      </c>
      <c r="F2" s="3">
        <v>90000</v>
      </c>
      <c r="G2" s="4">
        <f>E2/C2</f>
        <v>0.09</v>
      </c>
      <c r="H2" s="5">
        <f>D2/E2</f>
        <v>111.11111111111111</v>
      </c>
      <c r="I2" s="5">
        <f>F2/D2</f>
        <v>4.5</v>
      </c>
    </row>
    <row r="3" spans="1:9" ht="28.8" x14ac:dyDescent="0.3">
      <c r="A3" s="2" t="s">
        <v>6</v>
      </c>
      <c r="B3" s="2" t="s">
        <v>8</v>
      </c>
      <c r="C3" s="3">
        <v>2200</v>
      </c>
      <c r="D3" s="3">
        <v>22000</v>
      </c>
      <c r="E3" s="2">
        <v>120</v>
      </c>
      <c r="F3" s="3">
        <v>50000</v>
      </c>
      <c r="G3" s="4">
        <f t="shared" ref="G3:G11" si="0">E3/C3</f>
        <v>5.4545454545454543E-2</v>
      </c>
      <c r="H3" s="5">
        <f t="shared" ref="H3:H11" si="1">D3/E3</f>
        <v>183.33333333333334</v>
      </c>
      <c r="I3" s="5">
        <f t="shared" ref="I3:I11" si="2">F3/D3</f>
        <v>2.2727272727272729</v>
      </c>
    </row>
    <row r="4" spans="1:9" ht="28.8" x14ac:dyDescent="0.3">
      <c r="A4" s="2" t="s">
        <v>9</v>
      </c>
      <c r="B4" s="2" t="s">
        <v>7</v>
      </c>
      <c r="C4" s="3">
        <v>1500</v>
      </c>
      <c r="D4" s="3">
        <v>18000</v>
      </c>
      <c r="E4" s="2">
        <v>90</v>
      </c>
      <c r="F4" s="3">
        <v>45000</v>
      </c>
      <c r="G4" s="4">
        <f t="shared" si="0"/>
        <v>0.06</v>
      </c>
      <c r="H4" s="5">
        <f t="shared" si="1"/>
        <v>200</v>
      </c>
      <c r="I4" s="5">
        <f t="shared" si="2"/>
        <v>2.5</v>
      </c>
    </row>
    <row r="5" spans="1:9" ht="28.8" x14ac:dyDescent="0.3">
      <c r="A5" s="2" t="s">
        <v>9</v>
      </c>
      <c r="B5" s="2" t="s">
        <v>8</v>
      </c>
      <c r="C5" s="3">
        <v>3200</v>
      </c>
      <c r="D5" s="3">
        <v>35000</v>
      </c>
      <c r="E5" s="2">
        <v>120</v>
      </c>
      <c r="F5" s="3">
        <v>60000</v>
      </c>
      <c r="G5" s="4">
        <f t="shared" si="0"/>
        <v>3.7499999999999999E-2</v>
      </c>
      <c r="H5" s="5">
        <f t="shared" si="1"/>
        <v>291.66666666666669</v>
      </c>
      <c r="I5" s="5">
        <f t="shared" si="2"/>
        <v>1.7142857142857142</v>
      </c>
    </row>
    <row r="6" spans="1:9" ht="28.8" x14ac:dyDescent="0.3">
      <c r="A6" s="2" t="s">
        <v>10</v>
      </c>
      <c r="B6" s="2" t="s">
        <v>8</v>
      </c>
      <c r="C6" s="3">
        <v>3000</v>
      </c>
      <c r="D6" s="3">
        <v>32000</v>
      </c>
      <c r="E6" s="2">
        <v>150</v>
      </c>
      <c r="F6" s="3">
        <v>75000</v>
      </c>
      <c r="G6" s="4">
        <f t="shared" si="0"/>
        <v>0.05</v>
      </c>
      <c r="H6" s="5">
        <f t="shared" si="1"/>
        <v>213.33333333333334</v>
      </c>
      <c r="I6" s="5">
        <f t="shared" si="2"/>
        <v>2.34375</v>
      </c>
    </row>
    <row r="7" spans="1:9" ht="28.8" x14ac:dyDescent="0.3">
      <c r="A7" s="2" t="s">
        <v>10</v>
      </c>
      <c r="B7" s="2" t="s">
        <v>7</v>
      </c>
      <c r="C7" s="2">
        <v>800</v>
      </c>
      <c r="D7" s="3">
        <v>8000</v>
      </c>
      <c r="E7" s="2">
        <v>30</v>
      </c>
      <c r="F7" s="3">
        <v>15000</v>
      </c>
      <c r="G7" s="4">
        <f t="shared" si="0"/>
        <v>3.7499999999999999E-2</v>
      </c>
      <c r="H7" s="5">
        <f t="shared" si="1"/>
        <v>266.66666666666669</v>
      </c>
      <c r="I7" s="5">
        <f t="shared" si="2"/>
        <v>1.875</v>
      </c>
    </row>
    <row r="8" spans="1:9" ht="28.8" x14ac:dyDescent="0.3">
      <c r="A8" s="2" t="s">
        <v>11</v>
      </c>
      <c r="B8" s="2" t="s">
        <v>8</v>
      </c>
      <c r="C8" s="3">
        <v>4000</v>
      </c>
      <c r="D8" s="3">
        <v>45000</v>
      </c>
      <c r="E8" s="2">
        <v>150</v>
      </c>
      <c r="F8" s="3">
        <v>70000</v>
      </c>
      <c r="G8" s="4">
        <f t="shared" si="0"/>
        <v>3.7499999999999999E-2</v>
      </c>
      <c r="H8" s="5">
        <f t="shared" si="1"/>
        <v>300</v>
      </c>
      <c r="I8" s="5">
        <f t="shared" si="2"/>
        <v>1.5555555555555556</v>
      </c>
    </row>
    <row r="9" spans="1:9" ht="28.8" x14ac:dyDescent="0.3">
      <c r="A9" s="2" t="s">
        <v>11</v>
      </c>
      <c r="B9" s="2" t="s">
        <v>7</v>
      </c>
      <c r="C9" s="3">
        <v>1500</v>
      </c>
      <c r="D9" s="3">
        <v>20000</v>
      </c>
      <c r="E9" s="2">
        <v>80</v>
      </c>
      <c r="F9" s="3">
        <v>40000</v>
      </c>
      <c r="G9" s="4">
        <f t="shared" si="0"/>
        <v>5.3333333333333337E-2</v>
      </c>
      <c r="H9" s="5">
        <f t="shared" si="1"/>
        <v>250</v>
      </c>
      <c r="I9" s="5">
        <f t="shared" si="2"/>
        <v>2</v>
      </c>
    </row>
    <row r="10" spans="1:9" ht="43.2" x14ac:dyDescent="0.3">
      <c r="A10" s="2" t="s">
        <v>12</v>
      </c>
      <c r="B10" s="2" t="s">
        <v>7</v>
      </c>
      <c r="C10" s="3">
        <v>1800</v>
      </c>
      <c r="D10" s="3">
        <v>6000</v>
      </c>
      <c r="E10" s="2">
        <v>300</v>
      </c>
      <c r="F10" s="2">
        <v>140000</v>
      </c>
      <c r="G10" s="4">
        <f>E10/C10</f>
        <v>0.16666666666666666</v>
      </c>
      <c r="H10" s="5">
        <f>D10/E10</f>
        <v>20</v>
      </c>
      <c r="I10" s="5">
        <f>F10/D10</f>
        <v>23.333333333333332</v>
      </c>
    </row>
    <row r="11" spans="1:9" ht="43.2" x14ac:dyDescent="0.3">
      <c r="A11" s="2" t="s">
        <v>12</v>
      </c>
      <c r="B11" s="2" t="s">
        <v>8</v>
      </c>
      <c r="C11" s="3">
        <v>1200</v>
      </c>
      <c r="D11" s="3">
        <v>4000</v>
      </c>
      <c r="E11" s="2">
        <v>100</v>
      </c>
      <c r="F11" s="3">
        <v>60000</v>
      </c>
      <c r="G11" s="4">
        <f t="shared" si="0"/>
        <v>8.3333333333333329E-2</v>
      </c>
      <c r="H11" s="5">
        <f t="shared" si="1"/>
        <v>40</v>
      </c>
      <c r="I11" s="5">
        <f t="shared" si="2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Pallabi Sarkar</dc:creator>
  <cp:lastModifiedBy>Pallabi Sarkar</cp:lastModifiedBy>
  <dcterms:created xsi:type="dcterms:W3CDTF">2026-02-21T07:50:01Z</dcterms:created>
  <dcterms:modified xsi:type="dcterms:W3CDTF">2026-02-21T14:06:32Z</dcterms:modified>
</cp:coreProperties>
</file>