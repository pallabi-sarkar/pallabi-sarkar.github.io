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6b396f8520dbf6/Documents/"/>
    </mc:Choice>
  </mc:AlternateContent>
  <xr:revisionPtr revIDLastSave="314" documentId="8_{D87F9695-6720-4733-8926-8BB5FA56CC3A}" xr6:coauthVersionLast="47" xr6:coauthVersionMax="47" xr10:uidLastSave="{4144D27E-9A32-4955-BFF1-EB1EEF1BB566}"/>
  <bookViews>
    <workbookView xWindow="-108" yWindow="-108" windowWidth="23256" windowHeight="12456" firstSheet="3" activeTab="4" xr2:uid="{59527EBC-376C-48C6-803F-5CE0B4691CF2}"/>
  </bookViews>
  <sheets>
    <sheet name="Sheet2" sheetId="4" state="hidden" r:id="rId1"/>
    <sheet name="Sheet3" sheetId="5" state="hidden" r:id="rId2"/>
    <sheet name="Sheet4" sheetId="6" state="hidden" r:id="rId3"/>
    <sheet name="Sheet1" sheetId="1" r:id="rId4"/>
    <sheet name="Dashboard" sheetId="2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1" l="1"/>
  <c r="J7" i="1"/>
  <c r="J3" i="1"/>
  <c r="J4" i="1"/>
  <c r="J5" i="1"/>
  <c r="J6" i="1"/>
</calcChain>
</file>

<file path=xl/sharedStrings.xml><?xml version="1.0" encoding="utf-8"?>
<sst xmlns="http://schemas.openxmlformats.org/spreadsheetml/2006/main" count="54" uniqueCount="24">
  <si>
    <t>Month</t>
  </si>
  <si>
    <t>Source</t>
  </si>
  <si>
    <t>Device</t>
  </si>
  <si>
    <t>Sessions</t>
  </si>
  <si>
    <t>Users</t>
  </si>
  <si>
    <t>Conversions</t>
  </si>
  <si>
    <t>Engaged Sessions</t>
  </si>
  <si>
    <t>Jan</t>
  </si>
  <si>
    <t>Organic</t>
  </si>
  <si>
    <t>Desktop</t>
  </si>
  <si>
    <t>Mobile</t>
  </si>
  <si>
    <t>Paid</t>
  </si>
  <si>
    <t>Feb</t>
  </si>
  <si>
    <t>Metric</t>
  </si>
  <si>
    <t>Formula</t>
  </si>
  <si>
    <t>Total Sessions</t>
  </si>
  <si>
    <t>Total Users</t>
  </si>
  <si>
    <t>Total Conversions</t>
  </si>
  <si>
    <t>Total Engaged Sessions</t>
  </si>
  <si>
    <t>Conversion Rate</t>
  </si>
  <si>
    <t>Engagement Rate</t>
  </si>
  <si>
    <t>Row Labels</t>
  </si>
  <si>
    <t>Grand Total</t>
  </si>
  <si>
    <t>Sum of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</si>
</sst>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9" fontId="0" fillId="0" borderId="0" xfId="1" applyFont="1"/>
    <xf numFmtId="164" fontId="0" fillId="0" borderId="0" xfId="1" applyNumberFormat="1" applyFont="1"/>
    <xf numFmtId="0" fontId="4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[Website-Performance-Dashboard.xlsx]Sheet2!PivotTable3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Traffic Source Comparison </a:t>
            </a:r>
          </a:p>
        </c:rich>
      </c:tx>
      <c:layout>
        <c:manualLayout>
          <c:xMode val="edge"/>
          <c:yMode val="edge"/>
          <c:x val="0.25148600174978125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310166303207873"/>
          <c:y val="0.3478841553256547"/>
          <c:w val="0.46310449301659701"/>
          <c:h val="0.4629926540872531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Sheet2!$A$4:$A$6</c:f>
              <c:strCache>
                <c:ptCount val="2"/>
                <c:pt idx="0">
                  <c:v>Organic</c:v>
                </c:pt>
                <c:pt idx="1">
                  <c:v>Paid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6400</c:v>
                </c:pt>
                <c:pt idx="1">
                  <c:v>6140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6-429F-A195-928F473B0D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56010016"/>
        <c:axId val="1456010496"/>
      </c:barChart>
      <c:catAx>
        <c:axId val="1456010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010496"/>
        <c:crosses val="autoZero"/>
        <c:auto val="1"/>
        <c:lblAlgn val="ctr"/>
        <c:lblOffset val="100"/>
        <c:noMultiLvlLbl val="0"/>
      </c:catAx>
      <c:valAx>
        <c:axId val="145601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01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[Website-Performance-Dashboard.xlsx]Sheet3!PivotTable1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Sessions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6200</c:v>
                </c:pt>
                <c:pt idx="1">
                  <c:v>6340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8-4DD4-9147-951FA4D70B4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25796880"/>
        <c:axId val="1225797360"/>
      </c:lineChart>
      <c:catAx>
        <c:axId val="122579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797360"/>
        <c:crosses val="autoZero"/>
        <c:auto val="1"/>
        <c:lblAlgn val="ctr"/>
        <c:lblOffset val="100"/>
        <c:noMultiLvlLbl val="0"/>
      </c:catAx>
      <c:valAx>
        <c:axId val="122579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79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[Website-Performance-Dashboard.xlsx]Sheet4!PivotTable2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Device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27-49CE-B742-291B8CE72A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27-49CE-B742-291B8CE72A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Sheet4!$A$4:$A$6</c:f>
              <c:strCache>
                <c:ptCount val="2"/>
                <c:pt idx="0">
                  <c:v>Desktop</c:v>
                </c:pt>
                <c:pt idx="1">
                  <c:v>Mobile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5400</c:v>
                </c:pt>
                <c:pt idx="1">
                  <c:v>7140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27-49CE-B742-291B8CE72A3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0</xdr:row>
      <xdr:rowOff>160020</xdr:rowOff>
    </xdr:from>
    <xdr:to>
      <xdr:col>4</xdr:col>
      <xdr:colOff>160020</xdr:colOff>
      <xdr:row>6</xdr:row>
      <xdr:rowOff>39009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2BBE8DC4-B5E8-7BB5-34F7-8664E8574912}"/>
            </a:ext>
          </a:extLst>
        </xdr:cNvPr>
        <xdr:cNvGrpSpPr/>
      </xdr:nvGrpSpPr>
      <xdr:grpSpPr>
        <a:xfrm>
          <a:off x="739140" y="160020"/>
          <a:ext cx="1859280" cy="976269"/>
          <a:chOff x="739140" y="160020"/>
          <a:chExt cx="1630680" cy="800100"/>
        </a:xfrm>
        <a:effectLst>
          <a:outerShdw blurRad="50800" dist="50800" dir="5400000" algn="ctr" rotWithShape="0">
            <a:schemeClr val="bg1">
              <a:lumMod val="75000"/>
            </a:schemeClr>
          </a:outerShdw>
        </a:effectLst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F6F7DC3B-C73C-BF6E-1420-F65813520595}"/>
              </a:ext>
            </a:extLst>
          </xdr:cNvPr>
          <xdr:cNvSpPr/>
        </xdr:nvSpPr>
        <xdr:spPr>
          <a:xfrm>
            <a:off x="739140" y="160020"/>
            <a:ext cx="1630680" cy="800100"/>
          </a:xfrm>
          <a:prstGeom prst="rect">
            <a:avLst/>
          </a:prstGeom>
          <a:solidFill>
            <a:schemeClr val="bg1"/>
          </a:solidFill>
          <a:ln>
            <a:gradFill flip="none" rotWithShape="1">
              <a:gsLst>
                <a:gs pos="0">
                  <a:schemeClr val="accent3">
                    <a:lumMod val="67000"/>
                  </a:schemeClr>
                </a:gs>
                <a:gs pos="48000">
                  <a:schemeClr val="accent3">
                    <a:lumMod val="97000"/>
                    <a:lumOff val="3000"/>
                  </a:schemeClr>
                </a:gs>
                <a:gs pos="100000">
                  <a:schemeClr val="accent3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N" sz="1400">
                <a:solidFill>
                  <a:schemeClr val="tx1">
                    <a:lumMod val="85000"/>
                    <a:lumOff val="15000"/>
                  </a:schemeClr>
                </a:solidFill>
              </a:rPr>
              <a:t>Sessions</a:t>
            </a:r>
          </a:p>
        </xdr:txBody>
      </xdr:sp>
      <xdr:sp macro="" textlink="Sheet1!J3">
        <xdr:nvSpPr>
          <xdr:cNvPr id="5" name="TextBox 4">
            <a:extLst>
              <a:ext uri="{FF2B5EF4-FFF2-40B4-BE49-F238E27FC236}">
                <a16:creationId xmlns:a16="http://schemas.microsoft.com/office/drawing/2014/main" id="{9A9CDFE6-DCD5-9DEA-3B3F-863DA1434D64}"/>
              </a:ext>
            </a:extLst>
          </xdr:cNvPr>
          <xdr:cNvSpPr txBox="1"/>
        </xdr:nvSpPr>
        <xdr:spPr>
          <a:xfrm>
            <a:off x="756254" y="391084"/>
            <a:ext cx="1546860" cy="48086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b" anchorCtr="0">
            <a:noAutofit/>
          </a:bodyPr>
          <a:lstStyle/>
          <a:p>
            <a:pPr algn="ctr"/>
            <a:fld id="{47AFB62C-9460-41C8-BFBE-08748E6C206B}" type="TxLink">
              <a:rPr lang="en-US" sz="3200" b="1" i="0" u="none" strike="noStrike">
                <a:solidFill>
                  <a:srgbClr val="000000"/>
                </a:solidFill>
                <a:latin typeface="Arial Unicode MS"/>
              </a:rPr>
              <a:pPr algn="ctr"/>
              <a:t>12540</a:t>
            </a:fld>
            <a:endParaRPr lang="en-IN" sz="3200" b="1"/>
          </a:p>
        </xdr:txBody>
      </xdr:sp>
    </xdr:grpSp>
    <xdr:clientData/>
  </xdr:twoCellAnchor>
  <xdr:twoCellAnchor>
    <xdr:from>
      <xdr:col>8</xdr:col>
      <xdr:colOff>236220</xdr:colOff>
      <xdr:row>0</xdr:row>
      <xdr:rowOff>152400</xdr:rowOff>
    </xdr:from>
    <xdr:to>
      <xdr:col>11</xdr:col>
      <xdr:colOff>403860</xdr:colOff>
      <xdr:row>6</xdr:row>
      <xdr:rowOff>99060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3DC4A7F3-79CB-92D7-043E-8B0620BF587C}"/>
            </a:ext>
          </a:extLst>
        </xdr:cNvPr>
        <xdr:cNvGrpSpPr/>
      </xdr:nvGrpSpPr>
      <xdr:grpSpPr>
        <a:xfrm>
          <a:off x="5280660" y="152400"/>
          <a:ext cx="1996440" cy="1043940"/>
          <a:chOff x="5356860" y="167640"/>
          <a:chExt cx="1729740" cy="838765"/>
        </a:xfrm>
        <a:effectLst>
          <a:outerShdw blurRad="50800" dist="50800" dir="5400000" algn="ctr" rotWithShape="0">
            <a:schemeClr val="bg1">
              <a:lumMod val="65000"/>
            </a:schemeClr>
          </a:outerShdw>
        </a:effectLst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80047E20-39EE-6E58-39C6-880F4431B2B7}"/>
              </a:ext>
            </a:extLst>
          </xdr:cNvPr>
          <xdr:cNvSpPr/>
        </xdr:nvSpPr>
        <xdr:spPr>
          <a:xfrm>
            <a:off x="5356860" y="167640"/>
            <a:ext cx="1729740" cy="807720"/>
          </a:xfrm>
          <a:prstGeom prst="rect">
            <a:avLst/>
          </a:prstGeom>
          <a:solidFill>
            <a:schemeClr val="bg1"/>
          </a:solidFill>
          <a:ln>
            <a:gradFill flip="none" rotWithShape="1">
              <a:gsLst>
                <a:gs pos="0">
                  <a:schemeClr val="accent3">
                    <a:lumMod val="67000"/>
                  </a:schemeClr>
                </a:gs>
                <a:gs pos="48000">
                  <a:schemeClr val="accent3">
                    <a:lumMod val="97000"/>
                    <a:lumOff val="3000"/>
                  </a:schemeClr>
                </a:gs>
                <a:gs pos="100000">
                  <a:schemeClr val="accent3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N" sz="1400">
                <a:solidFill>
                  <a:schemeClr val="tx1">
                    <a:lumMod val="85000"/>
                    <a:lumOff val="15000"/>
                  </a:schemeClr>
                </a:solidFill>
              </a:rPr>
              <a:t>Convrsion Rate</a:t>
            </a:r>
          </a:p>
        </xdr:txBody>
      </xdr:sp>
      <xdr:sp macro="" textlink="Sheet1!J7">
        <xdr:nvSpPr>
          <xdr:cNvPr id="6" name="TextBox 5">
            <a:extLst>
              <a:ext uri="{FF2B5EF4-FFF2-40B4-BE49-F238E27FC236}">
                <a16:creationId xmlns:a16="http://schemas.microsoft.com/office/drawing/2014/main" id="{7171A925-8AAC-BE85-5B53-AF3BF31776C8}"/>
              </a:ext>
            </a:extLst>
          </xdr:cNvPr>
          <xdr:cNvSpPr txBox="1"/>
        </xdr:nvSpPr>
        <xdr:spPr>
          <a:xfrm>
            <a:off x="5615940" y="350520"/>
            <a:ext cx="1280160" cy="6558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fld id="{E01E4926-DCB8-4F6C-81F8-262115EFFCF8}" type="TxLink">
              <a:rPr lang="en-US" sz="36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4.8%</a:t>
            </a:fld>
            <a:endParaRPr lang="en-IN" sz="3600" b="1"/>
          </a:p>
        </xdr:txBody>
      </xdr:sp>
    </xdr:grpSp>
    <xdr:clientData/>
  </xdr:twoCellAnchor>
  <xdr:twoCellAnchor>
    <xdr:from>
      <xdr:col>12</xdr:col>
      <xdr:colOff>236220</xdr:colOff>
      <xdr:row>0</xdr:row>
      <xdr:rowOff>152400</xdr:rowOff>
    </xdr:from>
    <xdr:to>
      <xdr:col>15</xdr:col>
      <xdr:colOff>350520</xdr:colOff>
      <xdr:row>6</xdr:row>
      <xdr:rowOff>60960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81A80E30-A4CF-A9F6-FE47-19EAF9AD2363}"/>
            </a:ext>
          </a:extLst>
        </xdr:cNvPr>
        <xdr:cNvGrpSpPr/>
      </xdr:nvGrpSpPr>
      <xdr:grpSpPr>
        <a:xfrm>
          <a:off x="7719060" y="152400"/>
          <a:ext cx="1943100" cy="1005840"/>
          <a:chOff x="7467600" y="175260"/>
          <a:chExt cx="1851660" cy="967740"/>
        </a:xfrm>
        <a:effectLst>
          <a:outerShdw blurRad="50800" dist="50800" dir="5400000" algn="ctr" rotWithShape="0">
            <a:schemeClr val="bg1">
              <a:lumMod val="65000"/>
            </a:schemeClr>
          </a:outerShdw>
        </a:effectLst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77CCDD1E-567F-1007-3C2E-0F26532D6991}"/>
              </a:ext>
            </a:extLst>
          </xdr:cNvPr>
          <xdr:cNvSpPr/>
        </xdr:nvSpPr>
        <xdr:spPr>
          <a:xfrm>
            <a:off x="7467600" y="175260"/>
            <a:ext cx="1851660" cy="967740"/>
          </a:xfrm>
          <a:prstGeom prst="rect">
            <a:avLst/>
          </a:prstGeom>
          <a:solidFill>
            <a:schemeClr val="bg1"/>
          </a:solidFill>
          <a:ln>
            <a:gradFill flip="none" rotWithShape="1">
              <a:gsLst>
                <a:gs pos="0">
                  <a:schemeClr val="accent3">
                    <a:lumMod val="67000"/>
                  </a:schemeClr>
                </a:gs>
                <a:gs pos="48000">
                  <a:schemeClr val="accent3">
                    <a:lumMod val="97000"/>
                    <a:lumOff val="3000"/>
                  </a:schemeClr>
                </a:gs>
                <a:gs pos="100000">
                  <a:schemeClr val="accent3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N" sz="1400">
                <a:solidFill>
                  <a:schemeClr val="tx1">
                    <a:lumMod val="85000"/>
                    <a:lumOff val="15000"/>
                  </a:schemeClr>
                </a:solidFill>
              </a:rPr>
              <a:t>Engagement Rate</a:t>
            </a:r>
          </a:p>
        </xdr:txBody>
      </xdr:sp>
      <xdr:sp macro="" textlink="Sheet1!J8">
        <xdr:nvSpPr>
          <xdr:cNvPr id="12" name="TextBox 11">
            <a:extLst>
              <a:ext uri="{FF2B5EF4-FFF2-40B4-BE49-F238E27FC236}">
                <a16:creationId xmlns:a16="http://schemas.microsoft.com/office/drawing/2014/main" id="{02D07D78-430B-D493-BA9B-2B52B4905A46}"/>
              </a:ext>
            </a:extLst>
          </xdr:cNvPr>
          <xdr:cNvSpPr txBox="1"/>
        </xdr:nvSpPr>
        <xdr:spPr>
          <a:xfrm rot="10800000" flipV="1">
            <a:off x="7916463" y="421986"/>
            <a:ext cx="1051560" cy="54864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38333DA0-2E6F-4080-8C07-C362E06D3BA9}" type="TxLink">
              <a:rPr lang="en-US" sz="3600" b="1" i="0" u="none" strike="noStrike">
                <a:solidFill>
                  <a:schemeClr val="tx1">
                    <a:lumMod val="85000"/>
                    <a:lumOff val="1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62%</a:t>
            </a:fld>
            <a:endParaRPr lang="en-IN" sz="3600" b="1">
              <a:solidFill>
                <a:schemeClr val="tx1">
                  <a:lumMod val="85000"/>
                  <a:lumOff val="15000"/>
                </a:schemeClr>
              </a:solidFill>
            </a:endParaRPr>
          </a:p>
        </xdr:txBody>
      </xdr:sp>
    </xdr:grpSp>
    <xdr:clientData/>
  </xdr:twoCellAnchor>
  <xdr:twoCellAnchor>
    <xdr:from>
      <xdr:col>4</xdr:col>
      <xdr:colOff>617220</xdr:colOff>
      <xdr:row>0</xdr:row>
      <xdr:rowOff>160020</xdr:rowOff>
    </xdr:from>
    <xdr:to>
      <xdr:col>7</xdr:col>
      <xdr:colOff>472440</xdr:colOff>
      <xdr:row>6</xdr:row>
      <xdr:rowOff>45720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CD944BF7-D86B-620D-B830-E12B6DC8B4F0}"/>
            </a:ext>
          </a:extLst>
        </xdr:cNvPr>
        <xdr:cNvGrpSpPr/>
      </xdr:nvGrpSpPr>
      <xdr:grpSpPr>
        <a:xfrm>
          <a:off x="3055620" y="160020"/>
          <a:ext cx="1851660" cy="982980"/>
          <a:chOff x="3055620" y="160020"/>
          <a:chExt cx="1851660" cy="982980"/>
        </a:xfrm>
        <a:effectLst>
          <a:outerShdw blurRad="50800" dist="50800" dir="5400000" algn="ctr" rotWithShape="0">
            <a:schemeClr val="bg1">
              <a:lumMod val="75000"/>
            </a:schemeClr>
          </a:outerShdw>
        </a:effectLst>
      </xdr:grpSpPr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25F74D0E-19A6-2B12-5B94-DA1596C51089}"/>
              </a:ext>
            </a:extLst>
          </xdr:cNvPr>
          <xdr:cNvSpPr/>
        </xdr:nvSpPr>
        <xdr:spPr>
          <a:xfrm>
            <a:off x="3055620" y="160020"/>
            <a:ext cx="1851660" cy="982980"/>
          </a:xfrm>
          <a:prstGeom prst="rect">
            <a:avLst/>
          </a:prstGeom>
          <a:solidFill>
            <a:schemeClr val="bg1"/>
          </a:solidFill>
          <a:ln>
            <a:gradFill flip="none" rotWithShape="1">
              <a:gsLst>
                <a:gs pos="0">
                  <a:schemeClr val="accent3">
                    <a:lumMod val="67000"/>
                  </a:schemeClr>
                </a:gs>
                <a:gs pos="48000">
                  <a:schemeClr val="accent3">
                    <a:lumMod val="97000"/>
                    <a:lumOff val="3000"/>
                  </a:schemeClr>
                </a:gs>
                <a:gs pos="100000">
                  <a:schemeClr val="accent3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N" sz="1400">
                <a:solidFill>
                  <a:schemeClr val="tx1">
                    <a:lumMod val="85000"/>
                    <a:lumOff val="15000"/>
                  </a:schemeClr>
                </a:solidFill>
              </a:rPr>
              <a:t>Users</a:t>
            </a:r>
          </a:p>
        </xdr:txBody>
      </xdr:sp>
      <xdr:sp macro="" textlink="Sheet1!J4">
        <xdr:nvSpPr>
          <xdr:cNvPr id="17" name="TextBox 16">
            <a:extLst>
              <a:ext uri="{FF2B5EF4-FFF2-40B4-BE49-F238E27FC236}">
                <a16:creationId xmlns:a16="http://schemas.microsoft.com/office/drawing/2014/main" id="{245A39FB-8748-516B-1D61-327CEFC94475}"/>
              </a:ext>
            </a:extLst>
          </xdr:cNvPr>
          <xdr:cNvSpPr txBox="1"/>
        </xdr:nvSpPr>
        <xdr:spPr>
          <a:xfrm>
            <a:off x="3383280" y="388620"/>
            <a:ext cx="1287780" cy="54102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3E974562-B1E2-4F5D-A053-A42367A214E1}" type="TxLink">
              <a:rPr lang="en-US" sz="3600" b="1" i="0" u="none" strike="noStrike">
                <a:solidFill>
                  <a:srgbClr val="000000"/>
                </a:solidFill>
                <a:latin typeface="Arial Unicode MS"/>
              </a:rPr>
              <a:pPr algn="ctr"/>
              <a:t>9870</a:t>
            </a:fld>
            <a:endParaRPr lang="en-IN" sz="3600" b="1"/>
          </a:p>
        </xdr:txBody>
      </xdr:sp>
    </xdr:grpSp>
    <xdr:clientData/>
  </xdr:twoCellAnchor>
  <xdr:twoCellAnchor>
    <xdr:from>
      <xdr:col>0</xdr:col>
      <xdr:colOff>228600</xdr:colOff>
      <xdr:row>7</xdr:row>
      <xdr:rowOff>140970</xdr:rowOff>
    </xdr:from>
    <xdr:to>
      <xdr:col>5</xdr:col>
      <xdr:colOff>182880</xdr:colOff>
      <xdr:row>18</xdr:row>
      <xdr:rowOff>22860</xdr:rowOff>
    </xdr:to>
    <xdr:graphicFrame macro="">
      <xdr:nvGraphicFramePr>
        <xdr:cNvPr id="20" name="Chart 1">
          <a:extLst>
            <a:ext uri="{FF2B5EF4-FFF2-40B4-BE49-F238E27FC236}">
              <a16:creationId xmlns:a16="http://schemas.microsoft.com/office/drawing/2014/main" id="{A007E835-C03C-6CE9-4B20-09B7471C4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552450</xdr:colOff>
      <xdr:row>7</xdr:row>
      <xdr:rowOff>137160</xdr:rowOff>
    </xdr:from>
    <xdr:to>
      <xdr:col>11</xdr:col>
      <xdr:colOff>327660</xdr:colOff>
      <xdr:row>18</xdr:row>
      <xdr:rowOff>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523D6C1C-7761-6583-21D5-BFEC5EEFE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224790</xdr:colOff>
      <xdr:row>7</xdr:row>
      <xdr:rowOff>137160</xdr:rowOff>
    </xdr:from>
    <xdr:to>
      <xdr:col>17</xdr:col>
      <xdr:colOff>129540</xdr:colOff>
      <xdr:row>17</xdr:row>
      <xdr:rowOff>160020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F46A6928-D1B7-291A-C1BE-1FF926B90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llabi" refreshedDate="46070.797447222219" createdVersion="8" refreshedVersion="8" minRefreshableVersion="3" recordCount="8" xr:uid="{7CCFB605-ADDD-46D8-B037-FB2715B43471}">
  <cacheSource type="worksheet">
    <worksheetSource ref="A1:G9" sheet="Sheet1"/>
  </cacheSource>
  <cacheFields count="7">
    <cacheField name="Month" numFmtId="0">
      <sharedItems count="2">
        <s v="Jan"/>
        <s v="Feb"/>
      </sharedItems>
    </cacheField>
    <cacheField name="Source" numFmtId="0">
      <sharedItems count="2">
        <s v="Organic"/>
        <s v="Paid"/>
      </sharedItems>
    </cacheField>
    <cacheField name="Device" numFmtId="0">
      <sharedItems count="2">
        <s v="Desktop"/>
        <s v="Mobile"/>
      </sharedItems>
    </cacheField>
    <cacheField name="Sessions" numFmtId="0">
      <sharedItems containsSemiMixedTypes="0" containsString="0" containsNumber="1" containsInteger="1" minValue="1200" maxValue="2040"/>
    </cacheField>
    <cacheField name="Users" numFmtId="0">
      <sharedItems containsSemiMixedTypes="0" containsString="0" containsNumber="1" containsInteger="1" minValue="900" maxValue="1500"/>
    </cacheField>
    <cacheField name="Conversions" numFmtId="0">
      <sharedItems containsSemiMixedTypes="0" containsString="0" containsNumber="1" containsInteger="1" minValue="65" maxValue="85"/>
    </cacheField>
    <cacheField name="Engaged Sessions" numFmtId="0">
      <sharedItems containsSemiMixedTypes="0" containsString="0" containsNumber="1" containsInteger="1" minValue="750" maxValue="12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n v="1500"/>
    <n v="1200"/>
    <n v="75"/>
    <n v="930"/>
  </r>
  <r>
    <x v="0"/>
    <x v="0"/>
    <x v="1"/>
    <n v="1800"/>
    <n v="1500"/>
    <n v="85"/>
    <n v="1120"/>
  </r>
  <r>
    <x v="0"/>
    <x v="1"/>
    <x v="0"/>
    <n v="1300"/>
    <n v="1000"/>
    <n v="70"/>
    <n v="800"/>
  </r>
  <r>
    <x v="0"/>
    <x v="1"/>
    <x v="1"/>
    <n v="1600"/>
    <n v="1300"/>
    <n v="65"/>
    <n v="990"/>
  </r>
  <r>
    <x v="1"/>
    <x v="0"/>
    <x v="0"/>
    <n v="1400"/>
    <n v="1100"/>
    <n v="80"/>
    <n v="870"/>
  </r>
  <r>
    <x v="1"/>
    <x v="0"/>
    <x v="1"/>
    <n v="1700"/>
    <n v="1400"/>
    <n v="75"/>
    <n v="1050"/>
  </r>
  <r>
    <x v="1"/>
    <x v="1"/>
    <x v="0"/>
    <n v="1200"/>
    <n v="900"/>
    <n v="82"/>
    <n v="750"/>
  </r>
  <r>
    <x v="1"/>
    <x v="1"/>
    <x v="1"/>
    <n v="2040"/>
    <n v="1470"/>
    <n v="70"/>
    <n v="12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C8D7E-E0B9-498D-A2E7-E27E5E326AF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7"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Sessions" fld="3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83F0EE-E993-4B0B-B4AD-089A2E3D812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7"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essions" fld="3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53E59E-A09B-481B-A49E-080D7C76A00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7"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Sessions" fld="3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ED097-6A3C-4A4E-A8A0-24496A7E9FB9}">
  <dimension ref="A3:B6"/>
  <sheetViews>
    <sheetView workbookViewId="0">
      <selection activeCell="B5" sqref="B5"/>
    </sheetView>
  </sheetViews>
  <sheetFormatPr defaultRowHeight="14.4"/>
  <cols>
    <col min="1" max="1" width="12.5546875" bestFit="1" customWidth="1"/>
    <col min="2" max="2" width="14.5546875" bestFit="1" customWidth="1"/>
  </cols>
  <sheetData>
    <row r="3" spans="1:2">
      <c r="A3" s="7" t="s">
        <v>21</v>
      </c>
      <c r="B3" t="s">
        <v>23</v>
      </c>
    </row>
    <row r="4" spans="1:2">
      <c r="A4" s="8" t="s">
        <v>8</v>
      </c>
      <c r="B4">
        <v>6400</v>
      </c>
    </row>
    <row r="5" spans="1:2">
      <c r="A5" s="8" t="s">
        <v>11</v>
      </c>
      <c r="B5">
        <v>6140</v>
      </c>
    </row>
    <row r="6" spans="1:2">
      <c r="A6" s="8" t="s">
        <v>22</v>
      </c>
      <c r="B6">
        <v>12540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9446-A9D6-436C-8756-75EF30C59741}">
  <dimension ref="A3:B6"/>
  <sheetViews>
    <sheetView zoomScale="50" workbookViewId="0">
      <selection activeCell="I19" sqref="I19"/>
    </sheetView>
  </sheetViews>
  <sheetFormatPr defaultRowHeight="14.4"/>
  <cols>
    <col min="1" max="1" width="12.5546875" bestFit="1" customWidth="1"/>
    <col min="2" max="2" width="14.5546875" bestFit="1" customWidth="1"/>
  </cols>
  <sheetData>
    <row r="3" spans="1:2">
      <c r="A3" s="7" t="s">
        <v>21</v>
      </c>
      <c r="B3" t="s">
        <v>23</v>
      </c>
    </row>
    <row r="4" spans="1:2">
      <c r="A4" s="8" t="s">
        <v>7</v>
      </c>
      <c r="B4">
        <v>6200</v>
      </c>
    </row>
    <row r="5" spans="1:2">
      <c r="A5" s="8" t="s">
        <v>12</v>
      </c>
      <c r="B5">
        <v>6340</v>
      </c>
    </row>
    <row r="6" spans="1:2">
      <c r="A6" s="8" t="s">
        <v>22</v>
      </c>
      <c r="B6">
        <v>12540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ED60A-FB87-47C4-8F63-024EFA772139}">
  <dimension ref="A3:B6"/>
  <sheetViews>
    <sheetView workbookViewId="0">
      <selection activeCell="E8" sqref="E8"/>
    </sheetView>
  </sheetViews>
  <sheetFormatPr defaultRowHeight="14.4"/>
  <cols>
    <col min="1" max="1" width="12.5546875" bestFit="1" customWidth="1"/>
    <col min="2" max="2" width="14.5546875" bestFit="1" customWidth="1"/>
  </cols>
  <sheetData>
    <row r="3" spans="1:2">
      <c r="A3" s="7" t="s">
        <v>21</v>
      </c>
      <c r="B3" t="s">
        <v>23</v>
      </c>
    </row>
    <row r="4" spans="1:2">
      <c r="A4" s="8" t="s">
        <v>9</v>
      </c>
      <c r="B4">
        <v>5400</v>
      </c>
    </row>
    <row r="5" spans="1:2">
      <c r="A5" s="8" t="s">
        <v>10</v>
      </c>
      <c r="B5">
        <v>7140</v>
      </c>
    </row>
    <row r="6" spans="1:2">
      <c r="A6" s="8" t="s">
        <v>22</v>
      </c>
      <c r="B6">
        <v>12540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EA850-22FB-4E7C-8109-A0C8CB8A1DFA}">
  <dimension ref="A1:J9"/>
  <sheetViews>
    <sheetView workbookViewId="0">
      <selection activeCell="F18" sqref="F18"/>
    </sheetView>
  </sheetViews>
  <sheetFormatPr defaultRowHeight="14.4"/>
  <cols>
    <col min="6" max="6" width="12.33203125" customWidth="1"/>
    <col min="7" max="7" width="10.6640625" customWidth="1"/>
    <col min="9" max="9" width="15.77734375" customWidth="1"/>
    <col min="10" max="10" width="12.6640625" customWidth="1"/>
  </cols>
  <sheetData>
    <row r="1" spans="1:10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>
      <c r="A2" s="2" t="s">
        <v>7</v>
      </c>
      <c r="B2" s="2" t="s">
        <v>8</v>
      </c>
      <c r="C2" s="2" t="s">
        <v>9</v>
      </c>
      <c r="D2" s="2">
        <v>1500</v>
      </c>
      <c r="E2" s="2">
        <v>1200</v>
      </c>
      <c r="F2" s="2">
        <v>75</v>
      </c>
      <c r="G2" s="2">
        <v>930</v>
      </c>
      <c r="I2" s="1" t="s">
        <v>13</v>
      </c>
      <c r="J2" s="1" t="s">
        <v>14</v>
      </c>
    </row>
    <row r="3" spans="1:10">
      <c r="A3" s="2" t="s">
        <v>7</v>
      </c>
      <c r="B3" s="2" t="s">
        <v>8</v>
      </c>
      <c r="C3" s="2" t="s">
        <v>10</v>
      </c>
      <c r="D3" s="2">
        <v>1800</v>
      </c>
      <c r="E3" s="2">
        <v>1500</v>
      </c>
      <c r="F3" s="2">
        <v>85</v>
      </c>
      <c r="G3" s="2">
        <v>1120</v>
      </c>
      <c r="I3" s="2" t="s">
        <v>15</v>
      </c>
      <c r="J3" s="3">
        <f>SUM(D2:D9)</f>
        <v>12540</v>
      </c>
    </row>
    <row r="4" spans="1:10">
      <c r="A4" s="2" t="s">
        <v>7</v>
      </c>
      <c r="B4" s="2" t="s">
        <v>11</v>
      </c>
      <c r="C4" s="2" t="s">
        <v>9</v>
      </c>
      <c r="D4" s="2">
        <v>1300</v>
      </c>
      <c r="E4" s="2">
        <v>1000</v>
      </c>
      <c r="F4" s="2">
        <v>70</v>
      </c>
      <c r="G4" s="2">
        <v>800</v>
      </c>
      <c r="I4" s="2" t="s">
        <v>16</v>
      </c>
      <c r="J4" s="3">
        <f>SUM(E2:E9)</f>
        <v>9870</v>
      </c>
    </row>
    <row r="5" spans="1:10">
      <c r="A5" s="2" t="s">
        <v>7</v>
      </c>
      <c r="B5" s="2" t="s">
        <v>11</v>
      </c>
      <c r="C5" s="2" t="s">
        <v>10</v>
      </c>
      <c r="D5" s="2">
        <v>1600</v>
      </c>
      <c r="E5" s="2">
        <v>1300</v>
      </c>
      <c r="F5" s="2">
        <v>65</v>
      </c>
      <c r="G5" s="2">
        <v>990</v>
      </c>
      <c r="I5" s="2" t="s">
        <v>17</v>
      </c>
      <c r="J5" s="3">
        <f>SUM(F2:F9)</f>
        <v>602</v>
      </c>
    </row>
    <row r="6" spans="1:10" ht="28.8">
      <c r="A6" s="2" t="s">
        <v>12</v>
      </c>
      <c r="B6" s="2" t="s">
        <v>8</v>
      </c>
      <c r="C6" s="2" t="s">
        <v>9</v>
      </c>
      <c r="D6" s="2">
        <v>1400</v>
      </c>
      <c r="E6" s="2">
        <v>1100</v>
      </c>
      <c r="F6" s="2">
        <v>80</v>
      </c>
      <c r="G6" s="2">
        <v>870</v>
      </c>
      <c r="I6" s="2" t="s">
        <v>18</v>
      </c>
      <c r="J6" s="3">
        <f>SUM(G2:G9)</f>
        <v>7775</v>
      </c>
    </row>
    <row r="7" spans="1:10">
      <c r="A7" s="2" t="s">
        <v>12</v>
      </c>
      <c r="B7" s="2" t="s">
        <v>8</v>
      </c>
      <c r="C7" s="2" t="s">
        <v>10</v>
      </c>
      <c r="D7" s="2">
        <v>1700</v>
      </c>
      <c r="E7" s="2">
        <v>1400</v>
      </c>
      <c r="F7" s="2">
        <v>75</v>
      </c>
      <c r="G7" s="2">
        <v>1050</v>
      </c>
      <c r="I7" t="s">
        <v>19</v>
      </c>
      <c r="J7" s="5">
        <f>J5/J3</f>
        <v>4.8006379585326955E-2</v>
      </c>
    </row>
    <row r="8" spans="1:10">
      <c r="A8" s="2" t="s">
        <v>12</v>
      </c>
      <c r="B8" s="2" t="s">
        <v>11</v>
      </c>
      <c r="C8" s="2" t="s">
        <v>9</v>
      </c>
      <c r="D8" s="2">
        <v>1200</v>
      </c>
      <c r="E8" s="2">
        <v>900</v>
      </c>
      <c r="F8" s="2">
        <v>82</v>
      </c>
      <c r="G8" s="2">
        <v>750</v>
      </c>
      <c r="I8" t="s">
        <v>20</v>
      </c>
      <c r="J8" s="4">
        <f>J6/J3</f>
        <v>0.62001594896331735</v>
      </c>
    </row>
    <row r="9" spans="1:10">
      <c r="A9" s="2" t="s">
        <v>12</v>
      </c>
      <c r="B9" s="2" t="s">
        <v>11</v>
      </c>
      <c r="C9" s="2" t="s">
        <v>10</v>
      </c>
      <c r="D9" s="2">
        <v>2040</v>
      </c>
      <c r="E9" s="2">
        <v>1470</v>
      </c>
      <c r="F9" s="2">
        <v>70</v>
      </c>
      <c r="G9" s="2">
        <v>1265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797E5-C422-4A01-A61C-1B8AA087E31A}">
  <dimension ref="E5"/>
  <sheetViews>
    <sheetView tabSelected="1" workbookViewId="0">
      <selection activeCell="O21" sqref="O21"/>
    </sheetView>
  </sheetViews>
  <sheetFormatPr defaultRowHeight="14.4"/>
  <cols>
    <col min="5" max="5" width="11.33203125" customWidth="1"/>
  </cols>
  <sheetData>
    <row r="5" spans="5:5" ht="14.4" customHeight="1">
      <c r="E5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Pallabi Sarkar</dc:creator>
  <cp:lastModifiedBy>Pallabi Sarkar</cp:lastModifiedBy>
  <dcterms:created xsi:type="dcterms:W3CDTF">2026-02-16T10:59:56Z</dcterms:created>
  <dcterms:modified xsi:type="dcterms:W3CDTF">2026-02-18T06:31:01Z</dcterms:modified>
</cp:coreProperties>
</file>