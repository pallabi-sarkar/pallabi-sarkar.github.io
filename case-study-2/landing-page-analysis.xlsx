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6b396f8520dbf6/Documents/"/>
    </mc:Choice>
  </mc:AlternateContent>
  <xr:revisionPtr revIDLastSave="215" documentId="8_{998AB9A6-5942-4DEE-AE26-F1FF0FBA0714}" xr6:coauthVersionLast="47" xr6:coauthVersionMax="47" xr10:uidLastSave="{46DD1358-975D-4543-9A14-D42088512E8F}"/>
  <bookViews>
    <workbookView xWindow="7776" yWindow="1272" windowWidth="13620" windowHeight="11160" activeTab="1" xr2:uid="{E99A8E4B-334A-4077-8EB5-9DC624A1220F}"/>
  </bookViews>
  <sheets>
    <sheet name="Sheet2" sheetId="6" r:id="rId1"/>
    <sheet name="Sheet1" sheetId="1" r:id="rId2"/>
  </sheets>
  <definedNames>
    <definedName name="_xlnm._FilterDatabase" localSheetId="1" hidden="1">Sheet1!$A$1:$F$22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F3" i="1"/>
  <c r="F4" i="1"/>
  <c r="F5" i="1"/>
  <c r="F6" i="1"/>
  <c r="F7" i="1"/>
  <c r="F8" i="1"/>
  <c r="F9" i="1"/>
  <c r="J3" i="1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I4" i="1"/>
  <c r="I3" i="1"/>
  <c r="I2" i="1"/>
  <c r="J4" i="1" l="1"/>
  <c r="K4" i="1" s="1"/>
  <c r="K3" i="1"/>
  <c r="J2" i="1"/>
  <c r="K2" i="1" s="1"/>
</calcChain>
</file>

<file path=xl/sharedStrings.xml><?xml version="1.0" encoding="utf-8"?>
<sst xmlns="http://schemas.openxmlformats.org/spreadsheetml/2006/main" count="44" uniqueCount="16">
  <si>
    <t>Date</t>
  </si>
  <si>
    <t>Device</t>
  </si>
  <si>
    <t>Sessions</t>
  </si>
  <si>
    <t>Bounce Rate (%)</t>
  </si>
  <si>
    <t>Conversions</t>
  </si>
  <si>
    <t>Desktop</t>
  </si>
  <si>
    <t>Mobile</t>
  </si>
  <si>
    <t>Tablet</t>
  </si>
  <si>
    <t>Row Labels</t>
  </si>
  <si>
    <t>Grand Total</t>
  </si>
  <si>
    <t>Sum of Sessions</t>
  </si>
  <si>
    <t>Sum of Conversions</t>
  </si>
  <si>
    <t>Sum of Conversion Rate</t>
  </si>
  <si>
    <t>Average of Bounce Rate (%)</t>
  </si>
  <si>
    <t>Bounces</t>
  </si>
  <si>
    <t>Weighted Bounce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</si>
</sst>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0" borderId="0" xfId="1" applyNumberFormat="1" applyFont="1" applyAlignment="1">
      <alignment vertical="center" wrapText="1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1" formatCode="d\-mmm"/>
      <alignment horizontal="general" vertical="center" textRotation="0" wrapText="1" indent="0" justifyLastLine="0" shrinkToFit="0" readingOrder="0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[landing-page-analysis.xlsx]Sheet2!PivotTable4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Landing Page Analysis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6200</c:v>
                </c:pt>
                <c:pt idx="1">
                  <c:v>5100</c:v>
                </c:pt>
                <c:pt idx="2">
                  <c:v>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4-493F-8BDA-1E1A156428E5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540</c:v>
                </c:pt>
                <c:pt idx="1">
                  <c:v>240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D4-493F-8BDA-1E1A156428E5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Average of Bounce Rate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Sheet2!$D$4:$D$7</c:f>
              <c:numCache>
                <c:formatCode>General</c:formatCode>
                <c:ptCount val="3"/>
                <c:pt idx="0">
                  <c:v>35</c:v>
                </c:pt>
                <c:pt idx="1">
                  <c:v>62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D4-493F-8BDA-1E1A156428E5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Conversion 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Sheet2!$E$4:$E$7</c:f>
              <c:numCache>
                <c:formatCode>0.0%</c:formatCode>
                <c:ptCount val="3"/>
                <c:pt idx="0">
                  <c:v>8.7096774193548387E-2</c:v>
                </c:pt>
                <c:pt idx="1">
                  <c:v>4.7058823529411764E-2</c:v>
                </c:pt>
                <c:pt idx="2">
                  <c:v>7.3913043478260873E-2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D4-493F-8BDA-1E1A156428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1397263"/>
        <c:axId val="1551399663"/>
      </c:barChart>
      <c:catAx>
        <c:axId val="155139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399663"/>
        <c:crosses val="autoZero"/>
        <c:auto val="1"/>
        <c:lblAlgn val="ctr"/>
        <c:lblOffset val="100"/>
        <c:noMultiLvlLbl val="0"/>
      </c:catAx>
      <c:valAx>
        <c:axId val="1551399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39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11</xdr:row>
      <xdr:rowOff>0</xdr:rowOff>
    </xdr:from>
    <xdr:to>
      <xdr:col>8</xdr:col>
      <xdr:colOff>22860</xdr:colOff>
      <xdr:row>24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834AFF-02B9-E614-B1A6-145ED2DB7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labi" refreshedDate="46067.751706249997" createdVersion="8" refreshedVersion="8" minRefreshableVersion="3" recordCount="3" xr:uid="{A371C208-07C5-44C2-96DC-41908F354D4F}">
  <cacheSource type="worksheet">
    <worksheetSource ref="H1:L4" sheet="Sheet1"/>
  </cacheSource>
  <cacheFields count="5">
    <cacheField name="Device" numFmtId="0">
      <sharedItems count="3">
        <s v="Desktop"/>
        <s v="Mobile"/>
        <s v="Tablet"/>
      </sharedItems>
    </cacheField>
    <cacheField name="Sessions" numFmtId="0">
      <sharedItems containsSemiMixedTypes="0" containsString="0" containsNumber="1" containsInteger="1" minValue="1150" maxValue="6200"/>
    </cacheField>
    <cacheField name="Bounce Rate (%)" numFmtId="0">
      <sharedItems containsSemiMixedTypes="0" containsString="0" containsNumber="1" containsInteger="1" minValue="35" maxValue="62"/>
    </cacheField>
    <cacheField name="Conversions" numFmtId="0">
      <sharedItems containsSemiMixedTypes="0" containsString="0" containsNumber="1" containsInteger="1" minValue="85" maxValue="540"/>
    </cacheField>
    <cacheField name="Conversion Rate" numFmtId="0" formula="Conversions/Session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6200"/>
    <n v="35"/>
    <n v="540"/>
  </r>
  <r>
    <x v="1"/>
    <n v="5100"/>
    <n v="62"/>
    <n v="240"/>
  </r>
  <r>
    <x v="2"/>
    <n v="1150"/>
    <n v="50"/>
    <n v="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5894C-5B06-42A1-9BC8-B2500CA6632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7" firstHeaderRow="0" firstDataRow="1" firstDataCol="1"/>
  <pivotFields count="5"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dataField="1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essions" fld="1" baseField="0" baseItem="0"/>
    <dataField name="Sum of Conversions" fld="3" baseField="0" baseItem="0"/>
    <dataField name="Average of Bounce Rate (%)" fld="2" subtotal="average" baseField="0" baseItem="0"/>
    <dataField name="Sum of Conversion Rate" fld="4" baseField="0" baseItem="0" numFmtId="164"/>
  </dataFields>
  <formats count="1">
    <format dxfId="1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312E24-532D-4B57-B70A-6F608FF6AD5C}" name="Table1" displayName="Table1" ref="A1:F22" totalsRowShown="0" headerRowDxfId="7" dataDxfId="8">
  <autoFilter ref="A1:F22" xr:uid="{E7CF010B-1328-431B-83E3-1A10997888AB}"/>
  <tableColumns count="6">
    <tableColumn id="1" xr3:uid="{75F5C43B-CDB3-46C3-BB06-A372E532E860}" name="Date" dataDxfId="13"/>
    <tableColumn id="2" xr3:uid="{401D674A-CA32-4A8B-8870-FBCD83F89669}" name="Device" dataDxfId="12"/>
    <tableColumn id="3" xr3:uid="{410848BD-C446-4504-8EEE-80724231D838}" name="Sessions" dataDxfId="11"/>
    <tableColumn id="4" xr3:uid="{6792EE09-7A80-4FB6-AE47-633DA1A6FA09}" name="Bounce Rate (%)" dataDxfId="10" dataCellStyle="Percent"/>
    <tableColumn id="5" xr3:uid="{6CA338CD-4B22-4D03-848C-477A7088E44A}" name="Conversions" dataDxfId="9"/>
    <tableColumn id="6" xr3:uid="{22D731C2-CA88-4DC4-B0B7-DA65D55A071B}" name="Bounces">
      <calculatedColumnFormula>C2*D2/100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1B1B19-6AAF-4644-88C0-5C0DE878406B}" name="Table2" displayName="Table2" ref="H1:L4" totalsRowShown="0" headerRowDxfId="0" dataDxfId="1">
  <autoFilter ref="H1:L4" xr:uid="{C31B1B19-6AAF-4644-88C0-5C0DE878406B}"/>
  <tableColumns count="5">
    <tableColumn id="1" xr3:uid="{11FD5730-B9D6-416F-BDA3-D7F81E7031C3}" name="Device" dataDxfId="6"/>
    <tableColumn id="2" xr3:uid="{0C9E457C-13BC-4782-AAA9-E215610C2BFE}" name="Sessions" dataDxfId="5"/>
    <tableColumn id="3" xr3:uid="{BE4EBA6A-E388-43E5-A8E0-5054922FE921}" name="Bounces" dataDxfId="4"/>
    <tableColumn id="4" xr3:uid="{630D9395-C0D1-4B0E-8E87-B578A7D2BBD8}" name="Weighted Bounce Rate (%)" dataDxfId="3">
      <calculatedColumnFormula>(J2/I2)*100</calculatedColumnFormula>
    </tableColumn>
    <tableColumn id="5" xr3:uid="{5AA076F3-62D3-4269-98AC-425819A893D4}" name="Conversio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4201-7D43-4C20-82AE-89FDA9517511}">
  <dimension ref="A3:E7"/>
  <sheetViews>
    <sheetView topLeftCell="A7"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4.5546875" bestFit="1" customWidth="1"/>
    <col min="3" max="3" width="17.88671875" bestFit="1" customWidth="1"/>
    <col min="4" max="4" width="24.6640625" bestFit="1" customWidth="1"/>
    <col min="5" max="5" width="21.44140625" bestFit="1" customWidth="1"/>
  </cols>
  <sheetData>
    <row r="3" spans="1:5" x14ac:dyDescent="0.3">
      <c r="A3" s="4" t="s">
        <v>8</v>
      </c>
      <c r="B3" t="s">
        <v>10</v>
      </c>
      <c r="C3" t="s">
        <v>11</v>
      </c>
      <c r="D3" t="s">
        <v>13</v>
      </c>
      <c r="E3" t="s">
        <v>12</v>
      </c>
    </row>
    <row r="4" spans="1:5" x14ac:dyDescent="0.3">
      <c r="A4" s="5" t="s">
        <v>5</v>
      </c>
      <c r="B4">
        <v>6200</v>
      </c>
      <c r="C4">
        <v>540</v>
      </c>
      <c r="D4">
        <v>35</v>
      </c>
      <c r="E4" s="8">
        <v>8.7096774193548387E-2</v>
      </c>
    </row>
    <row r="5" spans="1:5" x14ac:dyDescent="0.3">
      <c r="A5" s="5" t="s">
        <v>6</v>
      </c>
      <c r="B5">
        <v>5100</v>
      </c>
      <c r="C5">
        <v>240</v>
      </c>
      <c r="D5">
        <v>62</v>
      </c>
      <c r="E5" s="8">
        <v>4.7058823529411764E-2</v>
      </c>
    </row>
    <row r="6" spans="1:5" x14ac:dyDescent="0.3">
      <c r="A6" s="5" t="s">
        <v>7</v>
      </c>
      <c r="B6">
        <v>1150</v>
      </c>
      <c r="C6">
        <v>85</v>
      </c>
      <c r="D6">
        <v>50</v>
      </c>
      <c r="E6" s="8">
        <v>7.3913043478260873E-2</v>
      </c>
    </row>
    <row r="7" spans="1:5" x14ac:dyDescent="0.3">
      <c r="A7" s="5" t="s">
        <v>9</v>
      </c>
      <c r="B7">
        <v>12450</v>
      </c>
      <c r="C7">
        <v>865</v>
      </c>
      <c r="D7">
        <v>49</v>
      </c>
      <c r="E7" s="8">
        <v>6.9477911646586343E-2</v>
      </c>
    </row>
  </sheetData>
  <conditionalFormatting sqref="A3:E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010B-1328-431B-83E3-1A10997888AB}">
  <dimension ref="A1:L23"/>
  <sheetViews>
    <sheetView tabSelected="1" workbookViewId="0">
      <selection activeCell="D10" sqref="D10"/>
    </sheetView>
  </sheetViews>
  <sheetFormatPr defaultRowHeight="14.4" x14ac:dyDescent="0.3"/>
  <cols>
    <col min="3" max="3" width="9.88671875" customWidth="1"/>
    <col min="4" max="4" width="16.6640625" customWidth="1"/>
    <col min="5" max="5" width="13.109375" customWidth="1"/>
    <col min="6" max="6" width="10.21875" customWidth="1"/>
    <col min="9" max="9" width="9.88671875" customWidth="1"/>
    <col min="10" max="10" width="10" customWidth="1"/>
    <col min="11" max="11" width="17.44140625" customWidth="1"/>
    <col min="12" max="12" width="13.109375" customWidth="1"/>
  </cols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/>
      <c r="H1" s="1" t="s">
        <v>1</v>
      </c>
      <c r="I1" s="1" t="s">
        <v>2</v>
      </c>
      <c r="J1" s="1" t="s">
        <v>14</v>
      </c>
      <c r="K1" s="1" t="s">
        <v>15</v>
      </c>
      <c r="L1" s="1" t="s">
        <v>4</v>
      </c>
    </row>
    <row r="2" spans="1:12" x14ac:dyDescent="0.3">
      <c r="A2" s="2">
        <v>46023</v>
      </c>
      <c r="B2" s="3" t="s">
        <v>5</v>
      </c>
      <c r="C2" s="3">
        <v>850</v>
      </c>
      <c r="D2" s="7">
        <v>34</v>
      </c>
      <c r="E2" s="3">
        <v>74</v>
      </c>
      <c r="F2">
        <f>C2*D2/100</f>
        <v>289</v>
      </c>
      <c r="H2" s="3" t="s">
        <v>5</v>
      </c>
      <c r="I2" s="3">
        <f>SUMIF(B:B,"Desktop",C:C)</f>
        <v>6200</v>
      </c>
      <c r="J2" s="3">
        <f>SUMIF(B:B,"Desktop",F:F)</f>
        <v>2161.8000000000002</v>
      </c>
      <c r="K2" s="3">
        <f>(J2/I2)*100</f>
        <v>34.867741935483878</v>
      </c>
      <c r="L2" s="3">
        <f>SUMIF(B:B,"Desktop",E:E)</f>
        <v>540</v>
      </c>
    </row>
    <row r="3" spans="1:12" x14ac:dyDescent="0.3">
      <c r="A3" s="2">
        <v>46023</v>
      </c>
      <c r="B3" s="3" t="s">
        <v>6</v>
      </c>
      <c r="C3" s="3">
        <v>720</v>
      </c>
      <c r="D3" s="7">
        <v>61</v>
      </c>
      <c r="E3" s="3">
        <v>34</v>
      </c>
      <c r="F3">
        <f t="shared" ref="F3:F22" si="0">C3*D3/100</f>
        <v>439.2</v>
      </c>
      <c r="H3" s="3" t="s">
        <v>6</v>
      </c>
      <c r="I3" s="3">
        <f>SUMIF(B:B,"Mobile",C:C)</f>
        <v>5100</v>
      </c>
      <c r="J3" s="3">
        <f>SUMIF(B:B,"Mobile",F:F)</f>
        <v>3183.8</v>
      </c>
      <c r="K3" s="3">
        <f>(J3/I3)*100</f>
        <v>62.427450980392166</v>
      </c>
      <c r="L3" s="3">
        <f>SUMIF(B:B,"Mobile",E:E)</f>
        <v>240</v>
      </c>
    </row>
    <row r="4" spans="1:12" x14ac:dyDescent="0.3">
      <c r="A4" s="2">
        <v>46023</v>
      </c>
      <c r="B4" s="3" t="s">
        <v>7</v>
      </c>
      <c r="C4" s="3">
        <v>160</v>
      </c>
      <c r="D4" s="7">
        <v>49</v>
      </c>
      <c r="E4" s="3">
        <v>12</v>
      </c>
      <c r="F4">
        <f t="shared" si="0"/>
        <v>78.400000000000006</v>
      </c>
      <c r="H4" s="3" t="s">
        <v>7</v>
      </c>
      <c r="I4" s="3">
        <f>SUMIF(B:B,"Tablet",C:C)</f>
        <v>1150</v>
      </c>
      <c r="J4" s="3">
        <f>SUMIF(B:B,"Tablet",F:F)</f>
        <v>570.34999999999991</v>
      </c>
      <c r="K4" s="3">
        <f>(J4/I4)*100</f>
        <v>49.595652173913038</v>
      </c>
      <c r="L4" s="3">
        <f>SUMIF(B:B,"Tablet",E:E)</f>
        <v>85</v>
      </c>
    </row>
    <row r="5" spans="1:12" x14ac:dyDescent="0.3">
      <c r="A5" s="2">
        <v>46024</v>
      </c>
      <c r="B5" s="3" t="s">
        <v>5</v>
      </c>
      <c r="C5" s="3">
        <v>880</v>
      </c>
      <c r="D5" s="7">
        <v>36</v>
      </c>
      <c r="E5" s="3">
        <v>77</v>
      </c>
      <c r="F5">
        <f t="shared" si="0"/>
        <v>316.8</v>
      </c>
    </row>
    <row r="6" spans="1:12" x14ac:dyDescent="0.3">
      <c r="A6" s="2">
        <v>46024</v>
      </c>
      <c r="B6" s="3" t="s">
        <v>6</v>
      </c>
      <c r="C6" s="3">
        <v>730</v>
      </c>
      <c r="D6" s="7">
        <v>63</v>
      </c>
      <c r="E6" s="3">
        <v>35</v>
      </c>
      <c r="F6">
        <f t="shared" si="0"/>
        <v>459.9</v>
      </c>
    </row>
    <row r="7" spans="1:12" x14ac:dyDescent="0.3">
      <c r="A7" s="2">
        <v>46024</v>
      </c>
      <c r="B7" s="3" t="s">
        <v>7</v>
      </c>
      <c r="C7" s="3">
        <v>165</v>
      </c>
      <c r="D7" s="7">
        <v>51</v>
      </c>
      <c r="E7" s="3">
        <v>12</v>
      </c>
      <c r="F7">
        <f t="shared" si="0"/>
        <v>84.15</v>
      </c>
    </row>
    <row r="8" spans="1:12" x14ac:dyDescent="0.3">
      <c r="A8" s="2">
        <v>46025</v>
      </c>
      <c r="B8" s="3" t="s">
        <v>5</v>
      </c>
      <c r="C8" s="3">
        <v>890</v>
      </c>
      <c r="D8" s="7">
        <v>33</v>
      </c>
      <c r="E8" s="3">
        <v>79</v>
      </c>
      <c r="F8">
        <f t="shared" si="0"/>
        <v>293.7</v>
      </c>
    </row>
    <row r="9" spans="1:12" x14ac:dyDescent="0.3">
      <c r="A9" s="2">
        <v>46025</v>
      </c>
      <c r="B9" s="3" t="s">
        <v>6</v>
      </c>
      <c r="C9" s="3">
        <v>740</v>
      </c>
      <c r="D9" s="7">
        <v>60</v>
      </c>
      <c r="E9" s="3">
        <v>34</v>
      </c>
      <c r="F9">
        <f t="shared" si="0"/>
        <v>444</v>
      </c>
    </row>
    <row r="10" spans="1:12" x14ac:dyDescent="0.3">
      <c r="A10" s="2">
        <v>46025</v>
      </c>
      <c r="B10" s="3" t="s">
        <v>7</v>
      </c>
      <c r="C10" s="3">
        <v>170</v>
      </c>
      <c r="D10" s="7">
        <v>50</v>
      </c>
      <c r="E10" s="3">
        <v>13</v>
      </c>
      <c r="F10">
        <f t="shared" si="0"/>
        <v>85</v>
      </c>
    </row>
    <row r="11" spans="1:12" x14ac:dyDescent="0.3">
      <c r="A11" s="2">
        <v>46026</v>
      </c>
      <c r="B11" s="3" t="s">
        <v>5</v>
      </c>
      <c r="C11" s="3">
        <v>900</v>
      </c>
      <c r="D11" s="7">
        <v>35</v>
      </c>
      <c r="E11" s="3">
        <v>78</v>
      </c>
      <c r="F11">
        <f t="shared" si="0"/>
        <v>315</v>
      </c>
    </row>
    <row r="12" spans="1:12" x14ac:dyDescent="0.3">
      <c r="A12" s="2">
        <v>46026</v>
      </c>
      <c r="B12" s="3" t="s">
        <v>6</v>
      </c>
      <c r="C12" s="3">
        <v>760</v>
      </c>
      <c r="D12" s="7">
        <v>64</v>
      </c>
      <c r="E12" s="3">
        <v>36</v>
      </c>
      <c r="F12">
        <f t="shared" si="0"/>
        <v>486.4</v>
      </c>
    </row>
    <row r="13" spans="1:12" x14ac:dyDescent="0.3">
      <c r="A13" s="2">
        <v>46026</v>
      </c>
      <c r="B13" s="3" t="s">
        <v>7</v>
      </c>
      <c r="C13" s="3">
        <v>165</v>
      </c>
      <c r="D13" s="7">
        <v>48</v>
      </c>
      <c r="E13" s="3">
        <v>12</v>
      </c>
      <c r="F13">
        <f t="shared" si="0"/>
        <v>79.2</v>
      </c>
    </row>
    <row r="14" spans="1:12" x14ac:dyDescent="0.3">
      <c r="A14" s="2">
        <v>46027</v>
      </c>
      <c r="B14" s="3" t="s">
        <v>5</v>
      </c>
      <c r="C14" s="3">
        <v>910</v>
      </c>
      <c r="D14" s="7">
        <v>37</v>
      </c>
      <c r="E14" s="3">
        <v>80</v>
      </c>
      <c r="F14">
        <f t="shared" si="0"/>
        <v>336.7</v>
      </c>
    </row>
    <row r="15" spans="1:12" x14ac:dyDescent="0.3">
      <c r="A15" s="2">
        <v>46027</v>
      </c>
      <c r="B15" s="3" t="s">
        <v>6</v>
      </c>
      <c r="C15" s="3">
        <v>750</v>
      </c>
      <c r="D15" s="7">
        <v>62</v>
      </c>
      <c r="E15" s="3">
        <v>34</v>
      </c>
      <c r="F15">
        <f t="shared" si="0"/>
        <v>465</v>
      </c>
    </row>
    <row r="16" spans="1:12" x14ac:dyDescent="0.3">
      <c r="A16" s="2">
        <v>46027</v>
      </c>
      <c r="B16" s="3" t="s">
        <v>7</v>
      </c>
      <c r="C16" s="3">
        <v>170</v>
      </c>
      <c r="D16" s="7">
        <v>52</v>
      </c>
      <c r="E16" s="3">
        <v>13</v>
      </c>
      <c r="F16">
        <f t="shared" si="0"/>
        <v>88.4</v>
      </c>
    </row>
    <row r="17" spans="1:6" x14ac:dyDescent="0.3">
      <c r="A17" s="2">
        <v>46028</v>
      </c>
      <c r="B17" s="3" t="s">
        <v>5</v>
      </c>
      <c r="C17" s="3">
        <v>890</v>
      </c>
      <c r="D17" s="7">
        <v>34</v>
      </c>
      <c r="E17" s="3">
        <v>77</v>
      </c>
      <c r="F17">
        <f t="shared" si="0"/>
        <v>302.60000000000002</v>
      </c>
    </row>
    <row r="18" spans="1:6" x14ac:dyDescent="0.3">
      <c r="A18" s="2">
        <v>46028</v>
      </c>
      <c r="B18" s="3" t="s">
        <v>6</v>
      </c>
      <c r="C18" s="3">
        <v>710</v>
      </c>
      <c r="D18" s="7">
        <v>65</v>
      </c>
      <c r="E18" s="3">
        <v>33</v>
      </c>
      <c r="F18">
        <f t="shared" si="0"/>
        <v>461.5</v>
      </c>
    </row>
    <row r="19" spans="1:6" x14ac:dyDescent="0.3">
      <c r="A19" s="2">
        <v>46028</v>
      </c>
      <c r="B19" s="3" t="s">
        <v>7</v>
      </c>
      <c r="C19" s="3">
        <v>160</v>
      </c>
      <c r="D19" s="7">
        <v>47</v>
      </c>
      <c r="E19" s="3">
        <v>11</v>
      </c>
      <c r="F19">
        <f t="shared" si="0"/>
        <v>75.2</v>
      </c>
    </row>
    <row r="20" spans="1:6" x14ac:dyDescent="0.3">
      <c r="A20" s="2">
        <v>46029</v>
      </c>
      <c r="B20" s="3" t="s">
        <v>5</v>
      </c>
      <c r="C20" s="3">
        <v>880</v>
      </c>
      <c r="D20" s="7">
        <v>35</v>
      </c>
      <c r="E20" s="3">
        <v>75</v>
      </c>
      <c r="F20">
        <f t="shared" si="0"/>
        <v>308</v>
      </c>
    </row>
    <row r="21" spans="1:6" x14ac:dyDescent="0.3">
      <c r="A21" s="2">
        <v>46029</v>
      </c>
      <c r="B21" s="3" t="s">
        <v>6</v>
      </c>
      <c r="C21" s="3">
        <v>690</v>
      </c>
      <c r="D21" s="7">
        <v>62</v>
      </c>
      <c r="E21" s="3">
        <v>34</v>
      </c>
      <c r="F21">
        <f t="shared" si="0"/>
        <v>427.8</v>
      </c>
    </row>
    <row r="22" spans="1:6" x14ac:dyDescent="0.3">
      <c r="A22" s="2">
        <v>46029</v>
      </c>
      <c r="B22" s="3" t="s">
        <v>7</v>
      </c>
      <c r="C22" s="3">
        <v>160</v>
      </c>
      <c r="D22" s="7">
        <v>50</v>
      </c>
      <c r="E22" s="3">
        <v>12</v>
      </c>
      <c r="F22">
        <f t="shared" si="0"/>
        <v>80</v>
      </c>
    </row>
    <row r="23" spans="1:6" x14ac:dyDescent="0.3">
      <c r="D23" s="6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Pallabi Sarkar</dc:creator>
  <cp:lastModifiedBy>Pallabi Sarkar</cp:lastModifiedBy>
  <dcterms:created xsi:type="dcterms:W3CDTF">2026-02-14T05:57:59Z</dcterms:created>
  <dcterms:modified xsi:type="dcterms:W3CDTF">2026-02-14T13:57:20Z</dcterms:modified>
</cp:coreProperties>
</file>