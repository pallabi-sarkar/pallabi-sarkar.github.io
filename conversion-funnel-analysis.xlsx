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6b396f8520dbf6/Documents/"/>
    </mc:Choice>
  </mc:AlternateContent>
  <xr:revisionPtr revIDLastSave="76" documentId="8_{601E23C4-8B23-4CA1-92D5-C48D4EBF2157}" xr6:coauthVersionLast="47" xr6:coauthVersionMax="47" xr10:uidLastSave="{FB12C8CC-3296-442F-985A-1727375F94E5}"/>
  <bookViews>
    <workbookView xWindow="8784" yWindow="900" windowWidth="13620" windowHeight="11160" xr2:uid="{EFAABEDD-D7F6-4A79-B8F6-99674D3B5A16}"/>
  </bookViews>
  <sheets>
    <sheet name="Funnel_Data" sheetId="1" r:id="rId1"/>
    <sheet name="Traffic_Source_Breakdown" sheetId="2" r:id="rId2"/>
    <sheet name="Device_Performan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E2" i="1"/>
  <c r="C3" i="1"/>
  <c r="D3" i="1" s="1"/>
  <c r="E3" i="1"/>
  <c r="C4" i="1"/>
  <c r="E4" i="1"/>
  <c r="C5" i="1"/>
  <c r="D5" i="1"/>
  <c r="E5" i="1"/>
  <c r="D5" i="2"/>
  <c r="D4" i="2"/>
  <c r="D3" i="2"/>
  <c r="D2" i="2"/>
</calcChain>
</file>

<file path=xl/sharedStrings.xml><?xml version="1.0" encoding="utf-8"?>
<sst xmlns="http://schemas.openxmlformats.org/spreadsheetml/2006/main" count="26" uniqueCount="22">
  <si>
    <t>Stage</t>
  </si>
  <si>
    <t>Users</t>
  </si>
  <si>
    <t>Drop From Previous Stage</t>
  </si>
  <si>
    <t>Drop %</t>
  </si>
  <si>
    <t>Conversion % From Start</t>
  </si>
  <si>
    <t>Landing Page</t>
  </si>
  <si>
    <t>-</t>
  </si>
  <si>
    <t>Product Page</t>
  </si>
  <si>
    <t>Checkout</t>
  </si>
  <si>
    <t>Purchase</t>
  </si>
  <si>
    <t>Traffic Source</t>
  </si>
  <si>
    <t>Landing Users</t>
  </si>
  <si>
    <t>Purchases</t>
  </si>
  <si>
    <t>Conversion Rate</t>
  </si>
  <si>
    <t>Organic</t>
  </si>
  <si>
    <t>Paid Ads</t>
  </si>
  <si>
    <t>Direct</t>
  </si>
  <si>
    <t>Referral</t>
  </si>
  <si>
    <t>Device</t>
  </si>
  <si>
    <t>Desktop</t>
  </si>
  <si>
    <t>Mobile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</si>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</sst>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7137BD-F026-4E08-BF98-D1ABB2E7EAE3}" name="Table5" displayName="Table5" ref="A1:E5" totalsRowShown="0" headerRowDxfId="10" dataDxfId="11">
  <tableColumns count="5">
    <tableColumn id="1" xr3:uid="{EBBD97A9-C0C5-4D4A-A1DF-1B882B49EBC4}" name="Stage" dataDxfId="16"/>
    <tableColumn id="2" xr3:uid="{0D045A88-1547-4361-AC01-6D3BCD384AEB}" name="Users" dataDxfId="15"/>
    <tableColumn id="3" xr3:uid="{6087ABF6-EE92-48FD-AE18-0ADC2C515066}" name="Drop From Previous Stage" dataDxfId="14">
      <calculatedColumnFormula>B1-B2</calculatedColumnFormula>
    </tableColumn>
    <tableColumn id="4" xr3:uid="{4C41EA34-FBCF-4DC7-B736-06DC560A7DE0}" name="Drop %" dataDxfId="13">
      <calculatedColumnFormula>C2/B1</calculatedColumnFormula>
    </tableColumn>
    <tableColumn id="5" xr3:uid="{DB631A9E-0D39-497D-8FDD-85BC59F8B747}" name="Conversion % From Start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923084-869D-4B33-9388-6F89DAE16DFF}" name="Table1" displayName="Table1" ref="A1:D5" totalsRowShown="0" headerRowDxfId="17" dataDxfId="18">
  <tableColumns count="4">
    <tableColumn id="1" xr3:uid="{EB49763D-FF56-410D-9CF2-6BD4553F8F7C}" name="Traffic Source" dataDxfId="22"/>
    <tableColumn id="2" xr3:uid="{BF47DF83-4CF5-4775-B14D-D3B4633DF9B9}" name="Landing Users" dataDxfId="21"/>
    <tableColumn id="3" xr3:uid="{C81573CF-2DA7-485E-9F24-3671294DFA2E}" name="Purchases" dataDxfId="20"/>
    <tableColumn id="4" xr3:uid="{9B4ACB43-7080-460C-893B-E6AD51BF01D6}" name="Conversion Rate" dataDxfId="19">
      <calculatedColumnFormula>C2/B2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199146B-83E5-4380-A48A-1B1303997791}" name="Table8" displayName="Table8" ref="A1:D4" headerRowCount="0" totalsRowShown="0" headerRowDxfId="4" dataDxfId="5">
  <tableColumns count="4">
    <tableColumn id="1" xr3:uid="{9826ABAB-60AA-481F-9258-7974AE4F2120}" name="Column1" headerRowDxfId="0" dataDxfId="9"/>
    <tableColumn id="2" xr3:uid="{0B2E6ADF-2D72-48D8-BD40-D52766FEC2A5}" name="Column2" headerRowDxfId="1" dataDxfId="8"/>
    <tableColumn id="3" xr3:uid="{349F3B93-F4A9-496C-8792-776831E0526B}" name="Column3" headerRowDxfId="2" dataDxfId="7"/>
    <tableColumn id="4" xr3:uid="{25E347B1-BDF1-4A0F-8FEC-B09CD1D8BDDD}" name="Column4" headerRowDxfId="3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58D31-764E-469C-B512-D9A8BC7029BE}">
  <dimension ref="A1:E5"/>
  <sheetViews>
    <sheetView tabSelected="1" workbookViewId="0">
      <selection activeCell="C3" sqref="C3"/>
    </sheetView>
  </sheetViews>
  <sheetFormatPr defaultRowHeight="14.4" x14ac:dyDescent="0.3"/>
  <cols>
    <col min="3" max="3" width="15.5546875" customWidth="1"/>
    <col min="5" max="5" width="13.886718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>
        <v>10000</v>
      </c>
      <c r="C2" s="2" t="s">
        <v>6</v>
      </c>
      <c r="D2" s="2" t="s">
        <v>6</v>
      </c>
      <c r="E2" s="3">
        <f>B2/B2</f>
        <v>1</v>
      </c>
    </row>
    <row r="3" spans="1:5" ht="28.8" x14ac:dyDescent="0.3">
      <c r="A3" s="2" t="s">
        <v>7</v>
      </c>
      <c r="B3" s="2">
        <v>6000</v>
      </c>
      <c r="C3" s="2">
        <f>B2-B3</f>
        <v>4000</v>
      </c>
      <c r="D3" s="3">
        <f>C3/B2</f>
        <v>0.4</v>
      </c>
      <c r="E3" s="3">
        <f>B3/B2</f>
        <v>0.6</v>
      </c>
    </row>
    <row r="4" spans="1:5" x14ac:dyDescent="0.3">
      <c r="A4" s="2" t="s">
        <v>8</v>
      </c>
      <c r="B4" s="2">
        <v>2500</v>
      </c>
      <c r="C4" s="2">
        <f>B3-B4</f>
        <v>3500</v>
      </c>
      <c r="D4" s="3">
        <f>C4/B3</f>
        <v>0.58333333333333337</v>
      </c>
      <c r="E4" s="3">
        <f>B4/B2</f>
        <v>0.25</v>
      </c>
    </row>
    <row r="5" spans="1:5" x14ac:dyDescent="0.3">
      <c r="A5" s="2" t="s">
        <v>9</v>
      </c>
      <c r="B5" s="2">
        <v>1800</v>
      </c>
      <c r="C5" s="2">
        <f>B4-B5</f>
        <v>700</v>
      </c>
      <c r="D5" s="3">
        <f>C5/B4</f>
        <v>0.28000000000000003</v>
      </c>
      <c r="E5" s="3">
        <f>B5/B2</f>
        <v>0.18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91E5-A55D-45EA-B4EF-C97052CE14FB}">
  <dimension ref="A1:D5"/>
  <sheetViews>
    <sheetView workbookViewId="0">
      <selection activeCell="G10" sqref="G10"/>
    </sheetView>
  </sheetViews>
  <sheetFormatPr defaultRowHeight="14.4" x14ac:dyDescent="0.3"/>
  <cols>
    <col min="1" max="1" width="14.44140625" customWidth="1"/>
    <col min="2" max="2" width="14.5546875" customWidth="1"/>
    <col min="3" max="3" width="11.33203125" customWidth="1"/>
    <col min="4" max="4" width="16.5546875" customWidth="1"/>
  </cols>
  <sheetData>
    <row r="1" spans="1:4" ht="28.8" x14ac:dyDescent="0.3">
      <c r="A1" s="1" t="s">
        <v>10</v>
      </c>
      <c r="B1" s="1" t="s">
        <v>11</v>
      </c>
      <c r="C1" s="1" t="s">
        <v>12</v>
      </c>
      <c r="D1" s="1" t="s">
        <v>13</v>
      </c>
    </row>
    <row r="2" spans="1:4" x14ac:dyDescent="0.3">
      <c r="A2" s="2" t="s">
        <v>14</v>
      </c>
      <c r="B2" s="2">
        <v>4000</v>
      </c>
      <c r="C2" s="2">
        <v>900</v>
      </c>
      <c r="D2" s="4">
        <f>C2/B2</f>
        <v>0.22500000000000001</v>
      </c>
    </row>
    <row r="3" spans="1:4" x14ac:dyDescent="0.3">
      <c r="A3" s="2" t="s">
        <v>15</v>
      </c>
      <c r="B3" s="2">
        <v>3000</v>
      </c>
      <c r="C3" s="2">
        <v>450</v>
      </c>
      <c r="D3" s="3">
        <f>C3/B3</f>
        <v>0.15</v>
      </c>
    </row>
    <row r="4" spans="1:4" x14ac:dyDescent="0.3">
      <c r="A4" s="2" t="s">
        <v>16</v>
      </c>
      <c r="B4" s="2">
        <v>2000</v>
      </c>
      <c r="C4" s="2">
        <v>320</v>
      </c>
      <c r="D4" s="3">
        <f>C4/B4</f>
        <v>0.16</v>
      </c>
    </row>
    <row r="5" spans="1:4" x14ac:dyDescent="0.3">
      <c r="A5" s="2" t="s">
        <v>17</v>
      </c>
      <c r="B5" s="2">
        <v>1000</v>
      </c>
      <c r="C5" s="2">
        <v>130</v>
      </c>
      <c r="D5" s="3">
        <f>C5/B5</f>
        <v>0.13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C984-9A86-40B4-8F8E-6829F7AE4E34}">
  <dimension ref="A1:D4"/>
  <sheetViews>
    <sheetView workbookViewId="0">
      <selection activeCell="E12" sqref="E12"/>
    </sheetView>
  </sheetViews>
  <sheetFormatPr defaultRowHeight="14.4" x14ac:dyDescent="0.3"/>
  <cols>
    <col min="1" max="3" width="10.44140625" customWidth="1"/>
    <col min="4" max="4" width="14.21875" customWidth="1"/>
  </cols>
  <sheetData>
    <row r="1" spans="1:4" ht="28.8" x14ac:dyDescent="0.3">
      <c r="A1" s="1" t="s">
        <v>18</v>
      </c>
      <c r="B1" s="1" t="s">
        <v>1</v>
      </c>
      <c r="C1" s="1" t="s">
        <v>12</v>
      </c>
      <c r="D1" s="1" t="s">
        <v>13</v>
      </c>
    </row>
    <row r="2" spans="1:4" x14ac:dyDescent="0.3">
      <c r="A2" s="2" t="s">
        <v>19</v>
      </c>
      <c r="B2" s="2">
        <v>5000</v>
      </c>
      <c r="C2" s="2">
        <v>1100</v>
      </c>
      <c r="D2" s="3">
        <v>0.22</v>
      </c>
    </row>
    <row r="3" spans="1:4" x14ac:dyDescent="0.3">
      <c r="A3" s="2" t="s">
        <v>20</v>
      </c>
      <c r="B3" s="2">
        <v>4500</v>
      </c>
      <c r="C3" s="2">
        <v>600</v>
      </c>
      <c r="D3" s="3">
        <v>0.13</v>
      </c>
    </row>
    <row r="4" spans="1:4" x14ac:dyDescent="0.3">
      <c r="A4" s="2" t="s">
        <v>21</v>
      </c>
      <c r="B4" s="2">
        <v>500</v>
      </c>
      <c r="C4" s="2">
        <v>100</v>
      </c>
      <c r="D4" s="3">
        <v>0.2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Funnel_Data</vt:lpstr>
      <vt:lpstr>Traffic_Source_Breakdown</vt:lpstr>
      <vt:lpstr>Device_Performance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Pallabi Sarkar</dc:creator>
  <cp:lastModifiedBy>Pallabi Sarkar</cp:lastModifiedBy>
  <dcterms:created xsi:type="dcterms:W3CDTF">2026-02-15T16:06:07Z</dcterms:created>
  <dcterms:modified xsi:type="dcterms:W3CDTF">2026-02-15T17:07:25Z</dcterms:modified>
</cp:coreProperties>
</file>